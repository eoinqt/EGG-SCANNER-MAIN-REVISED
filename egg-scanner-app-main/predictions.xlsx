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hn Christian\Desktop\CSRP2\"/>
    </mc:Choice>
  </mc:AlternateContent>
  <xr:revisionPtr revIDLastSave="0" documentId="13_ncr:1_{C230753C-8340-413D-B658-75C4F34EA6F2}" xr6:coauthVersionLast="47" xr6:coauthVersionMax="47" xr10:uidLastSave="{00000000-0000-0000-0000-000000000000}"/>
  <bookViews>
    <workbookView xWindow="1920" yWindow="0" windowWidth="11712" windowHeight="130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I56" i="1"/>
  <c r="J56" i="1"/>
  <c r="K56" i="1"/>
  <c r="I57" i="1"/>
  <c r="J57" i="1"/>
  <c r="K57" i="1"/>
  <c r="I58" i="1"/>
  <c r="J58" i="1"/>
  <c r="K58" i="1"/>
  <c r="I59" i="1"/>
  <c r="J59" i="1"/>
  <c r="K59" i="1"/>
  <c r="I60" i="1"/>
  <c r="J60" i="1"/>
  <c r="K60" i="1"/>
  <c r="I61" i="1"/>
  <c r="J61" i="1"/>
  <c r="K61" i="1"/>
  <c r="I62" i="1"/>
  <c r="J62" i="1"/>
  <c r="K62" i="1"/>
  <c r="I63" i="1"/>
  <c r="J63" i="1"/>
  <c r="K63" i="1"/>
  <c r="I64" i="1"/>
  <c r="J64" i="1"/>
  <c r="K64" i="1"/>
  <c r="I65" i="1"/>
  <c r="J65" i="1"/>
  <c r="K65" i="1"/>
  <c r="I66" i="1"/>
  <c r="J66" i="1"/>
  <c r="K66" i="1"/>
  <c r="I67" i="1"/>
  <c r="J67" i="1"/>
  <c r="K67" i="1"/>
  <c r="I68" i="1"/>
  <c r="J68" i="1"/>
  <c r="K68" i="1"/>
  <c r="I69" i="1"/>
  <c r="J69" i="1"/>
  <c r="K69" i="1"/>
  <c r="I70" i="1"/>
  <c r="J70" i="1"/>
  <c r="K70" i="1"/>
  <c r="I71" i="1"/>
  <c r="J71" i="1"/>
  <c r="K71" i="1"/>
  <c r="I72" i="1"/>
  <c r="J72" i="1"/>
  <c r="K72" i="1"/>
  <c r="I73" i="1"/>
  <c r="J73" i="1"/>
  <c r="K73" i="1"/>
  <c r="I74" i="1"/>
  <c r="J74" i="1"/>
  <c r="K74" i="1"/>
  <c r="I75" i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K79" i="1"/>
  <c r="I80" i="1"/>
  <c r="J80" i="1"/>
  <c r="K80" i="1"/>
  <c r="I81" i="1"/>
  <c r="J81" i="1"/>
  <c r="K81" i="1"/>
  <c r="I82" i="1"/>
  <c r="J82" i="1"/>
  <c r="K82" i="1"/>
  <c r="I83" i="1"/>
  <c r="J83" i="1"/>
  <c r="K83" i="1"/>
  <c r="I84" i="1"/>
  <c r="J84" i="1"/>
  <c r="K84" i="1"/>
  <c r="I85" i="1"/>
  <c r="J85" i="1"/>
  <c r="K85" i="1"/>
  <c r="I86" i="1"/>
  <c r="J86" i="1"/>
  <c r="K86" i="1"/>
  <c r="I87" i="1"/>
  <c r="J87" i="1"/>
  <c r="K87" i="1"/>
  <c r="I88" i="1"/>
  <c r="J88" i="1"/>
  <c r="K88" i="1"/>
  <c r="I89" i="1"/>
  <c r="J89" i="1"/>
  <c r="K89" i="1"/>
  <c r="I90" i="1"/>
  <c r="J90" i="1"/>
  <c r="K90" i="1"/>
  <c r="I91" i="1"/>
  <c r="J91" i="1"/>
  <c r="K91" i="1"/>
  <c r="I92" i="1"/>
  <c r="J92" i="1"/>
  <c r="K92" i="1"/>
  <c r="I93" i="1"/>
  <c r="J93" i="1"/>
  <c r="K93" i="1"/>
  <c r="I94" i="1"/>
  <c r="J94" i="1"/>
  <c r="K94" i="1"/>
  <c r="I95" i="1"/>
  <c r="J95" i="1"/>
  <c r="K95" i="1"/>
  <c r="I96" i="1"/>
  <c r="J96" i="1"/>
  <c r="K96" i="1"/>
  <c r="I97" i="1"/>
  <c r="J97" i="1"/>
  <c r="K97" i="1"/>
  <c r="I98" i="1"/>
  <c r="J98" i="1"/>
  <c r="K98" i="1"/>
  <c r="I99" i="1"/>
  <c r="J99" i="1"/>
  <c r="K99" i="1"/>
  <c r="I100" i="1"/>
  <c r="J100" i="1"/>
  <c r="K100" i="1"/>
  <c r="I101" i="1"/>
  <c r="J101" i="1"/>
  <c r="K101" i="1"/>
  <c r="I102" i="1"/>
  <c r="J102" i="1"/>
  <c r="K102" i="1"/>
  <c r="I103" i="1"/>
  <c r="J103" i="1"/>
  <c r="K103" i="1"/>
  <c r="I104" i="1"/>
  <c r="J104" i="1"/>
  <c r="K104" i="1"/>
  <c r="I105" i="1"/>
  <c r="J105" i="1"/>
  <c r="K105" i="1"/>
  <c r="I106" i="1"/>
  <c r="J106" i="1"/>
  <c r="K106" i="1"/>
  <c r="I107" i="1"/>
  <c r="J107" i="1"/>
  <c r="K107" i="1"/>
  <c r="I108" i="1"/>
  <c r="J108" i="1"/>
  <c r="K108" i="1"/>
  <c r="I109" i="1"/>
  <c r="J109" i="1"/>
  <c r="K109" i="1"/>
  <c r="I110" i="1"/>
  <c r="J110" i="1"/>
  <c r="K110" i="1"/>
  <c r="I111" i="1"/>
  <c r="J111" i="1"/>
  <c r="K111" i="1"/>
  <c r="I112" i="1"/>
  <c r="J112" i="1"/>
  <c r="K112" i="1"/>
  <c r="I113" i="1"/>
  <c r="J113" i="1"/>
  <c r="K113" i="1"/>
  <c r="I114" i="1"/>
  <c r="J114" i="1"/>
  <c r="K114" i="1"/>
  <c r="I115" i="1"/>
  <c r="J115" i="1"/>
  <c r="K115" i="1"/>
  <c r="I116" i="1"/>
  <c r="J116" i="1"/>
  <c r="K116" i="1"/>
  <c r="I117" i="1"/>
  <c r="J117" i="1"/>
  <c r="K117" i="1"/>
  <c r="I118" i="1"/>
  <c r="J118" i="1"/>
  <c r="K118" i="1"/>
  <c r="I119" i="1"/>
  <c r="J119" i="1"/>
  <c r="K119" i="1"/>
  <c r="I120" i="1"/>
  <c r="J120" i="1"/>
  <c r="K120" i="1"/>
  <c r="I121" i="1"/>
  <c r="J121" i="1"/>
  <c r="K121" i="1"/>
  <c r="I122" i="1"/>
  <c r="J122" i="1"/>
  <c r="K122" i="1"/>
  <c r="I123" i="1"/>
  <c r="J123" i="1"/>
  <c r="K123" i="1"/>
  <c r="I124" i="1"/>
  <c r="J124" i="1"/>
  <c r="K124" i="1"/>
  <c r="I125" i="1"/>
  <c r="J125" i="1"/>
  <c r="K125" i="1"/>
  <c r="I126" i="1"/>
  <c r="J126" i="1"/>
  <c r="K126" i="1"/>
  <c r="I127" i="1"/>
  <c r="J127" i="1"/>
  <c r="K127" i="1"/>
  <c r="I128" i="1"/>
  <c r="J128" i="1"/>
  <c r="K128" i="1"/>
  <c r="I129" i="1"/>
  <c r="J129" i="1"/>
  <c r="K129" i="1"/>
  <c r="I130" i="1"/>
  <c r="J130" i="1"/>
  <c r="K130" i="1"/>
  <c r="I131" i="1"/>
  <c r="J131" i="1"/>
  <c r="K131" i="1"/>
  <c r="I132" i="1"/>
  <c r="J132" i="1"/>
  <c r="K132" i="1"/>
  <c r="I133" i="1"/>
  <c r="J133" i="1"/>
  <c r="K133" i="1"/>
  <c r="I134" i="1"/>
  <c r="J134" i="1"/>
  <c r="K134" i="1"/>
  <c r="I135" i="1"/>
  <c r="J135" i="1"/>
  <c r="K135" i="1"/>
  <c r="I136" i="1"/>
  <c r="J136" i="1"/>
  <c r="K136" i="1"/>
  <c r="I137" i="1"/>
  <c r="J137" i="1"/>
  <c r="K137" i="1"/>
  <c r="I138" i="1"/>
  <c r="J138" i="1"/>
  <c r="K138" i="1"/>
  <c r="I139" i="1"/>
  <c r="J139" i="1"/>
  <c r="K139" i="1"/>
  <c r="I140" i="1"/>
  <c r="J140" i="1"/>
  <c r="K140" i="1"/>
  <c r="I141" i="1"/>
  <c r="J141" i="1"/>
  <c r="K141" i="1"/>
  <c r="I142" i="1"/>
  <c r="J142" i="1"/>
  <c r="K142" i="1"/>
  <c r="I143" i="1"/>
  <c r="J143" i="1"/>
  <c r="K143" i="1"/>
  <c r="I144" i="1"/>
  <c r="J144" i="1"/>
  <c r="K144" i="1"/>
  <c r="I145" i="1"/>
  <c r="J145" i="1"/>
  <c r="K145" i="1"/>
  <c r="I146" i="1"/>
  <c r="J146" i="1"/>
  <c r="K146" i="1"/>
  <c r="I147" i="1"/>
  <c r="J147" i="1"/>
  <c r="K147" i="1"/>
  <c r="I148" i="1"/>
  <c r="J148" i="1"/>
  <c r="K148" i="1"/>
  <c r="I149" i="1"/>
  <c r="J149" i="1"/>
  <c r="K149" i="1"/>
  <c r="I150" i="1"/>
  <c r="J150" i="1"/>
  <c r="K150" i="1"/>
  <c r="I151" i="1"/>
  <c r="J151" i="1"/>
  <c r="K151" i="1"/>
  <c r="I152" i="1"/>
  <c r="J152" i="1"/>
  <c r="K152" i="1"/>
  <c r="I153" i="1"/>
  <c r="J153" i="1"/>
  <c r="K153" i="1"/>
  <c r="I154" i="1"/>
  <c r="J154" i="1"/>
  <c r="K154" i="1"/>
  <c r="I155" i="1"/>
  <c r="J155" i="1"/>
  <c r="K155" i="1"/>
  <c r="I156" i="1"/>
  <c r="J156" i="1"/>
  <c r="K156" i="1"/>
  <c r="I157" i="1"/>
  <c r="J157" i="1"/>
  <c r="K157" i="1"/>
  <c r="I158" i="1"/>
  <c r="J158" i="1"/>
  <c r="K158" i="1"/>
  <c r="I159" i="1"/>
  <c r="J159" i="1"/>
  <c r="K159" i="1"/>
  <c r="I160" i="1"/>
  <c r="J160" i="1"/>
  <c r="K160" i="1"/>
  <c r="I161" i="1"/>
  <c r="J161" i="1"/>
  <c r="K161" i="1"/>
  <c r="I162" i="1"/>
  <c r="J162" i="1"/>
  <c r="K162" i="1"/>
  <c r="I163" i="1"/>
  <c r="J163" i="1"/>
  <c r="K163" i="1"/>
  <c r="I164" i="1"/>
  <c r="J164" i="1"/>
  <c r="K164" i="1"/>
  <c r="I165" i="1"/>
  <c r="J165" i="1"/>
  <c r="K165" i="1"/>
  <c r="I166" i="1"/>
  <c r="J166" i="1"/>
  <c r="K166" i="1"/>
  <c r="I167" i="1"/>
  <c r="J167" i="1"/>
  <c r="K167" i="1"/>
  <c r="I168" i="1"/>
  <c r="J168" i="1"/>
  <c r="K168" i="1"/>
  <c r="I169" i="1"/>
  <c r="J169" i="1"/>
  <c r="K169" i="1"/>
  <c r="I170" i="1"/>
  <c r="J170" i="1"/>
  <c r="K170" i="1"/>
  <c r="I171" i="1"/>
  <c r="J171" i="1"/>
  <c r="K171" i="1"/>
  <c r="I172" i="1"/>
  <c r="J172" i="1"/>
  <c r="K172" i="1"/>
  <c r="I173" i="1"/>
  <c r="J173" i="1"/>
  <c r="K173" i="1"/>
  <c r="I174" i="1"/>
  <c r="J174" i="1"/>
  <c r="K174" i="1"/>
  <c r="I175" i="1"/>
  <c r="J175" i="1"/>
  <c r="K175" i="1"/>
  <c r="I176" i="1"/>
  <c r="J176" i="1"/>
  <c r="K176" i="1"/>
  <c r="I177" i="1"/>
  <c r="J177" i="1"/>
  <c r="K177" i="1"/>
  <c r="I178" i="1"/>
  <c r="J178" i="1"/>
  <c r="K178" i="1"/>
  <c r="I179" i="1"/>
  <c r="J179" i="1"/>
  <c r="K179" i="1"/>
  <c r="I180" i="1"/>
  <c r="J180" i="1"/>
  <c r="K180" i="1"/>
  <c r="I181" i="1"/>
  <c r="J181" i="1"/>
  <c r="K181" i="1"/>
  <c r="I182" i="1"/>
  <c r="J182" i="1"/>
  <c r="K182" i="1"/>
  <c r="I183" i="1"/>
  <c r="J183" i="1"/>
  <c r="K183" i="1"/>
  <c r="I184" i="1"/>
  <c r="J184" i="1"/>
  <c r="K184" i="1"/>
  <c r="I185" i="1"/>
  <c r="J185" i="1"/>
  <c r="K185" i="1"/>
  <c r="I186" i="1"/>
  <c r="J186" i="1"/>
  <c r="K186" i="1"/>
  <c r="I187" i="1"/>
  <c r="J187" i="1"/>
  <c r="K187" i="1"/>
  <c r="I188" i="1"/>
  <c r="J188" i="1"/>
  <c r="K188" i="1"/>
  <c r="I189" i="1"/>
  <c r="J189" i="1"/>
  <c r="K189" i="1"/>
  <c r="I190" i="1"/>
  <c r="J190" i="1"/>
  <c r="K190" i="1"/>
  <c r="I191" i="1"/>
  <c r="J191" i="1"/>
  <c r="K191" i="1"/>
  <c r="I192" i="1"/>
  <c r="J192" i="1"/>
  <c r="K192" i="1"/>
  <c r="I193" i="1"/>
  <c r="J193" i="1"/>
  <c r="K193" i="1"/>
  <c r="I194" i="1"/>
  <c r="J194" i="1"/>
  <c r="K194" i="1"/>
  <c r="I195" i="1"/>
  <c r="J195" i="1"/>
  <c r="K195" i="1"/>
  <c r="I196" i="1"/>
  <c r="J196" i="1"/>
  <c r="K196" i="1"/>
  <c r="I197" i="1"/>
  <c r="J197" i="1"/>
  <c r="K197" i="1"/>
  <c r="I198" i="1"/>
  <c r="J198" i="1"/>
  <c r="K198" i="1"/>
  <c r="I199" i="1"/>
  <c r="J199" i="1"/>
  <c r="K199" i="1"/>
  <c r="I200" i="1"/>
  <c r="J200" i="1"/>
  <c r="K200" i="1"/>
  <c r="I201" i="1"/>
  <c r="J201" i="1"/>
  <c r="K201" i="1"/>
  <c r="I202" i="1"/>
  <c r="J202" i="1"/>
  <c r="K202" i="1"/>
  <c r="I203" i="1"/>
  <c r="J203" i="1"/>
  <c r="K203" i="1"/>
  <c r="I204" i="1"/>
  <c r="J204" i="1"/>
  <c r="K204" i="1"/>
  <c r="I205" i="1"/>
  <c r="J205" i="1"/>
  <c r="K205" i="1"/>
  <c r="I206" i="1"/>
  <c r="J206" i="1"/>
  <c r="K206" i="1"/>
  <c r="I207" i="1"/>
  <c r="J207" i="1"/>
  <c r="K207" i="1"/>
  <c r="I208" i="1"/>
  <c r="J208" i="1"/>
  <c r="K208" i="1"/>
  <c r="I209" i="1"/>
  <c r="J209" i="1"/>
  <c r="K209" i="1"/>
  <c r="I210" i="1"/>
  <c r="J210" i="1"/>
  <c r="K210" i="1"/>
  <c r="I211" i="1"/>
  <c r="J211" i="1"/>
  <c r="K211" i="1"/>
  <c r="I212" i="1"/>
  <c r="J212" i="1"/>
  <c r="K212" i="1"/>
  <c r="I213" i="1"/>
  <c r="J213" i="1"/>
  <c r="K213" i="1"/>
  <c r="I214" i="1"/>
  <c r="J214" i="1"/>
  <c r="K214" i="1"/>
  <c r="I215" i="1"/>
  <c r="J215" i="1"/>
  <c r="K215" i="1"/>
  <c r="I216" i="1"/>
  <c r="J216" i="1"/>
  <c r="K216" i="1"/>
  <c r="I217" i="1"/>
  <c r="J217" i="1"/>
  <c r="K217" i="1"/>
  <c r="I218" i="1"/>
  <c r="J218" i="1"/>
  <c r="K218" i="1"/>
  <c r="I219" i="1"/>
  <c r="J219" i="1"/>
  <c r="K219" i="1"/>
  <c r="I220" i="1"/>
  <c r="J220" i="1"/>
  <c r="K220" i="1"/>
  <c r="I221" i="1"/>
  <c r="J221" i="1"/>
  <c r="K221" i="1"/>
  <c r="I222" i="1"/>
  <c r="J222" i="1"/>
  <c r="K222" i="1"/>
  <c r="I223" i="1"/>
  <c r="J223" i="1"/>
  <c r="K223" i="1"/>
  <c r="I224" i="1"/>
  <c r="J224" i="1"/>
  <c r="K224" i="1"/>
  <c r="I225" i="1"/>
  <c r="J225" i="1"/>
  <c r="K225" i="1"/>
  <c r="I226" i="1"/>
  <c r="J226" i="1"/>
  <c r="K226" i="1"/>
  <c r="I227" i="1"/>
  <c r="J227" i="1"/>
  <c r="K227" i="1"/>
  <c r="I228" i="1"/>
  <c r="J228" i="1"/>
  <c r="K228" i="1"/>
  <c r="I229" i="1"/>
  <c r="J229" i="1"/>
  <c r="K229" i="1"/>
  <c r="I230" i="1"/>
  <c r="J230" i="1"/>
  <c r="K230" i="1"/>
  <c r="I231" i="1"/>
  <c r="J231" i="1"/>
  <c r="K231" i="1"/>
  <c r="I232" i="1"/>
  <c r="J232" i="1"/>
  <c r="K232" i="1"/>
  <c r="I233" i="1"/>
  <c r="J233" i="1"/>
  <c r="K233" i="1"/>
  <c r="I234" i="1"/>
  <c r="J234" i="1"/>
  <c r="K234" i="1"/>
  <c r="I235" i="1"/>
  <c r="J235" i="1"/>
  <c r="K235" i="1"/>
  <c r="I236" i="1"/>
  <c r="J236" i="1"/>
  <c r="K236" i="1"/>
  <c r="I237" i="1"/>
  <c r="J237" i="1"/>
  <c r="K237" i="1"/>
  <c r="I238" i="1"/>
  <c r="J238" i="1"/>
  <c r="K238" i="1"/>
  <c r="I239" i="1"/>
  <c r="J239" i="1"/>
  <c r="K239" i="1"/>
  <c r="I240" i="1"/>
  <c r="J240" i="1"/>
  <c r="K240" i="1"/>
  <c r="I241" i="1"/>
  <c r="J241" i="1"/>
  <c r="K241" i="1"/>
  <c r="I242" i="1"/>
  <c r="J242" i="1"/>
  <c r="K242" i="1"/>
  <c r="I243" i="1"/>
  <c r="J243" i="1"/>
  <c r="K243" i="1"/>
  <c r="I244" i="1"/>
  <c r="J244" i="1"/>
  <c r="K244" i="1"/>
  <c r="I245" i="1"/>
  <c r="J245" i="1"/>
  <c r="K245" i="1"/>
  <c r="I246" i="1"/>
  <c r="J246" i="1"/>
  <c r="K246" i="1"/>
  <c r="I247" i="1"/>
  <c r="J247" i="1"/>
  <c r="K247" i="1"/>
  <c r="I248" i="1"/>
  <c r="J248" i="1"/>
  <c r="K248" i="1"/>
  <c r="I249" i="1"/>
  <c r="J249" i="1"/>
  <c r="K249" i="1"/>
  <c r="I250" i="1"/>
  <c r="J250" i="1"/>
  <c r="K250" i="1"/>
  <c r="I251" i="1"/>
  <c r="J251" i="1"/>
  <c r="K251" i="1"/>
  <c r="I252" i="1"/>
  <c r="J252" i="1"/>
  <c r="K252" i="1"/>
  <c r="I253" i="1"/>
  <c r="J253" i="1"/>
  <c r="K253" i="1"/>
  <c r="I254" i="1"/>
  <c r="J254" i="1"/>
  <c r="K254" i="1"/>
  <c r="I255" i="1"/>
  <c r="J255" i="1"/>
  <c r="K255" i="1"/>
  <c r="I256" i="1"/>
  <c r="J256" i="1"/>
  <c r="K256" i="1"/>
  <c r="I257" i="1"/>
  <c r="J257" i="1"/>
  <c r="K257" i="1"/>
  <c r="I258" i="1"/>
  <c r="J258" i="1"/>
  <c r="K258" i="1"/>
  <c r="I259" i="1"/>
  <c r="J259" i="1"/>
  <c r="K259" i="1"/>
  <c r="I260" i="1"/>
  <c r="J260" i="1"/>
  <c r="K260" i="1"/>
  <c r="I261" i="1"/>
  <c r="J261" i="1"/>
  <c r="K261" i="1"/>
  <c r="I262" i="1"/>
  <c r="J262" i="1"/>
  <c r="K262" i="1"/>
  <c r="I263" i="1"/>
  <c r="J263" i="1"/>
  <c r="K263" i="1"/>
  <c r="I264" i="1"/>
  <c r="J264" i="1"/>
  <c r="K264" i="1"/>
  <c r="I265" i="1"/>
  <c r="J265" i="1"/>
  <c r="K265" i="1"/>
  <c r="I266" i="1"/>
  <c r="J266" i="1"/>
  <c r="K266" i="1"/>
  <c r="I267" i="1"/>
  <c r="J267" i="1"/>
  <c r="K267" i="1"/>
  <c r="I268" i="1"/>
  <c r="J268" i="1"/>
  <c r="K268" i="1"/>
  <c r="I269" i="1"/>
  <c r="J269" i="1"/>
  <c r="K269" i="1"/>
  <c r="I270" i="1"/>
  <c r="J270" i="1"/>
  <c r="K270" i="1"/>
  <c r="I271" i="1"/>
  <c r="J271" i="1"/>
  <c r="K271" i="1"/>
  <c r="I272" i="1"/>
  <c r="J272" i="1"/>
  <c r="K272" i="1"/>
  <c r="I273" i="1"/>
  <c r="J273" i="1"/>
  <c r="K273" i="1"/>
  <c r="I274" i="1"/>
  <c r="J274" i="1"/>
  <c r="K274" i="1"/>
  <c r="I275" i="1"/>
  <c r="J275" i="1"/>
  <c r="K275" i="1"/>
  <c r="I276" i="1"/>
  <c r="J276" i="1"/>
  <c r="K276" i="1"/>
  <c r="I277" i="1"/>
  <c r="J277" i="1"/>
  <c r="K277" i="1"/>
  <c r="I278" i="1"/>
  <c r="J278" i="1"/>
  <c r="K278" i="1"/>
  <c r="I279" i="1"/>
  <c r="J279" i="1"/>
  <c r="K279" i="1"/>
  <c r="I280" i="1"/>
  <c r="J280" i="1"/>
  <c r="K280" i="1"/>
  <c r="I281" i="1"/>
  <c r="J281" i="1"/>
  <c r="K281" i="1"/>
  <c r="I282" i="1"/>
  <c r="J282" i="1"/>
  <c r="K282" i="1"/>
  <c r="I283" i="1"/>
  <c r="J283" i="1"/>
  <c r="K283" i="1"/>
  <c r="I284" i="1"/>
  <c r="J284" i="1"/>
  <c r="K284" i="1"/>
  <c r="I285" i="1"/>
  <c r="J285" i="1"/>
  <c r="K285" i="1"/>
  <c r="I286" i="1"/>
  <c r="J286" i="1"/>
  <c r="K286" i="1"/>
  <c r="I287" i="1"/>
  <c r="J287" i="1"/>
  <c r="K287" i="1"/>
  <c r="I288" i="1"/>
  <c r="J288" i="1"/>
  <c r="K288" i="1"/>
  <c r="I289" i="1"/>
  <c r="J289" i="1"/>
  <c r="K289" i="1"/>
  <c r="I290" i="1"/>
  <c r="J290" i="1"/>
  <c r="K290" i="1"/>
  <c r="I291" i="1"/>
  <c r="J291" i="1"/>
  <c r="K291" i="1"/>
  <c r="I292" i="1"/>
  <c r="J292" i="1"/>
  <c r="K292" i="1"/>
  <c r="I293" i="1"/>
  <c r="J293" i="1"/>
  <c r="K293" i="1"/>
  <c r="I294" i="1"/>
  <c r="J294" i="1"/>
  <c r="K294" i="1"/>
  <c r="I295" i="1"/>
  <c r="J295" i="1"/>
  <c r="K295" i="1"/>
  <c r="I296" i="1"/>
  <c r="J296" i="1"/>
  <c r="K296" i="1"/>
  <c r="I297" i="1"/>
  <c r="J297" i="1"/>
  <c r="K297" i="1"/>
  <c r="I298" i="1"/>
  <c r="J298" i="1"/>
  <c r="K298" i="1"/>
  <c r="I299" i="1"/>
  <c r="J299" i="1"/>
  <c r="K299" i="1"/>
  <c r="I300" i="1"/>
  <c r="J300" i="1"/>
  <c r="K300" i="1"/>
  <c r="I301" i="1"/>
  <c r="J301" i="1"/>
  <c r="K301" i="1"/>
  <c r="I302" i="1"/>
  <c r="J302" i="1"/>
  <c r="K302" i="1"/>
  <c r="I303" i="1"/>
  <c r="J303" i="1"/>
  <c r="K303" i="1"/>
  <c r="I304" i="1"/>
  <c r="J304" i="1"/>
  <c r="K304" i="1"/>
  <c r="I305" i="1"/>
  <c r="J305" i="1"/>
  <c r="K305" i="1"/>
  <c r="I306" i="1"/>
  <c r="J306" i="1"/>
  <c r="K306" i="1"/>
  <c r="I307" i="1"/>
  <c r="J307" i="1"/>
  <c r="K307" i="1"/>
  <c r="I308" i="1"/>
  <c r="J308" i="1"/>
  <c r="K308" i="1"/>
  <c r="I309" i="1"/>
  <c r="J309" i="1"/>
  <c r="K309" i="1"/>
  <c r="I310" i="1"/>
  <c r="J310" i="1"/>
  <c r="K310" i="1"/>
  <c r="I311" i="1"/>
  <c r="J311" i="1"/>
  <c r="K311" i="1"/>
  <c r="I312" i="1"/>
  <c r="J312" i="1"/>
  <c r="K312" i="1"/>
  <c r="I313" i="1"/>
  <c r="J313" i="1"/>
  <c r="K313" i="1"/>
  <c r="I314" i="1"/>
  <c r="J314" i="1"/>
  <c r="K314" i="1"/>
  <c r="I315" i="1"/>
  <c r="J315" i="1"/>
  <c r="K315" i="1"/>
  <c r="I316" i="1"/>
  <c r="J316" i="1"/>
  <c r="K316" i="1"/>
  <c r="I317" i="1"/>
  <c r="J317" i="1"/>
  <c r="K317" i="1"/>
  <c r="I318" i="1"/>
  <c r="J318" i="1"/>
  <c r="K318" i="1"/>
  <c r="I319" i="1"/>
  <c r="J319" i="1"/>
  <c r="K319" i="1"/>
  <c r="I320" i="1"/>
  <c r="J320" i="1"/>
  <c r="K320" i="1"/>
  <c r="I321" i="1"/>
  <c r="J321" i="1"/>
  <c r="K321" i="1"/>
  <c r="I322" i="1"/>
  <c r="J322" i="1"/>
  <c r="K322" i="1"/>
  <c r="I323" i="1"/>
  <c r="J323" i="1"/>
  <c r="K323" i="1"/>
  <c r="I324" i="1"/>
  <c r="J324" i="1"/>
  <c r="K324" i="1"/>
  <c r="I325" i="1"/>
  <c r="J325" i="1"/>
  <c r="K325" i="1"/>
  <c r="I326" i="1"/>
  <c r="J326" i="1"/>
  <c r="K326" i="1"/>
  <c r="I327" i="1"/>
  <c r="J327" i="1"/>
  <c r="K327" i="1"/>
  <c r="I328" i="1"/>
  <c r="J328" i="1"/>
  <c r="K328" i="1"/>
  <c r="I329" i="1"/>
  <c r="J329" i="1"/>
  <c r="K329" i="1"/>
  <c r="I330" i="1"/>
  <c r="J330" i="1"/>
  <c r="K330" i="1"/>
  <c r="I331" i="1"/>
  <c r="J331" i="1"/>
  <c r="K331" i="1"/>
  <c r="I332" i="1"/>
  <c r="J332" i="1"/>
  <c r="K332" i="1"/>
  <c r="I333" i="1"/>
  <c r="J333" i="1"/>
  <c r="K333" i="1"/>
  <c r="I334" i="1"/>
  <c r="J334" i="1"/>
  <c r="K334" i="1"/>
  <c r="I335" i="1"/>
  <c r="J335" i="1"/>
  <c r="K335" i="1"/>
  <c r="I336" i="1"/>
  <c r="J336" i="1"/>
  <c r="K336" i="1"/>
  <c r="I337" i="1"/>
  <c r="J337" i="1"/>
  <c r="K337" i="1"/>
  <c r="I338" i="1"/>
  <c r="J338" i="1"/>
  <c r="K338" i="1"/>
  <c r="I339" i="1"/>
  <c r="J339" i="1"/>
  <c r="K339" i="1"/>
  <c r="I340" i="1"/>
  <c r="J340" i="1"/>
  <c r="K340" i="1"/>
  <c r="I341" i="1"/>
  <c r="J341" i="1"/>
  <c r="K341" i="1"/>
  <c r="I342" i="1"/>
  <c r="J342" i="1"/>
  <c r="K342" i="1"/>
  <c r="I343" i="1"/>
  <c r="J343" i="1"/>
  <c r="K343" i="1"/>
  <c r="I344" i="1"/>
  <c r="J344" i="1"/>
  <c r="K344" i="1"/>
  <c r="I345" i="1"/>
  <c r="J345" i="1"/>
  <c r="K345" i="1"/>
  <c r="I346" i="1"/>
  <c r="J346" i="1"/>
  <c r="K346" i="1"/>
  <c r="I347" i="1"/>
  <c r="J347" i="1"/>
  <c r="K347" i="1"/>
  <c r="I348" i="1"/>
  <c r="J348" i="1"/>
  <c r="K348" i="1"/>
  <c r="I349" i="1"/>
  <c r="J349" i="1"/>
  <c r="K349" i="1"/>
  <c r="I350" i="1"/>
  <c r="J350" i="1"/>
  <c r="K350" i="1"/>
  <c r="I351" i="1"/>
  <c r="J351" i="1"/>
  <c r="K351" i="1"/>
  <c r="I352" i="1"/>
  <c r="J352" i="1"/>
  <c r="K352" i="1"/>
  <c r="I353" i="1"/>
  <c r="J353" i="1"/>
  <c r="K353" i="1"/>
  <c r="I354" i="1"/>
  <c r="J354" i="1"/>
  <c r="K354" i="1"/>
  <c r="I355" i="1"/>
  <c r="J355" i="1"/>
  <c r="K355" i="1"/>
  <c r="I356" i="1"/>
  <c r="J356" i="1"/>
  <c r="K356" i="1"/>
  <c r="I357" i="1"/>
  <c r="J357" i="1"/>
  <c r="K357" i="1"/>
  <c r="I358" i="1"/>
  <c r="J358" i="1"/>
  <c r="K358" i="1"/>
  <c r="I359" i="1"/>
  <c r="J359" i="1"/>
  <c r="K359" i="1"/>
  <c r="I360" i="1"/>
  <c r="J360" i="1"/>
  <c r="K360" i="1"/>
  <c r="I361" i="1"/>
  <c r="J361" i="1"/>
  <c r="K361" i="1"/>
  <c r="I362" i="1"/>
  <c r="J362" i="1"/>
  <c r="K362" i="1"/>
  <c r="I363" i="1"/>
  <c r="J363" i="1"/>
  <c r="K363" i="1"/>
  <c r="I364" i="1"/>
  <c r="J364" i="1"/>
  <c r="K364" i="1"/>
  <c r="I365" i="1"/>
  <c r="J365" i="1"/>
  <c r="K365" i="1"/>
  <c r="I366" i="1"/>
  <c r="J366" i="1"/>
  <c r="K366" i="1"/>
  <c r="I367" i="1"/>
  <c r="J367" i="1"/>
  <c r="K367" i="1"/>
  <c r="I368" i="1"/>
  <c r="J368" i="1"/>
  <c r="K368" i="1"/>
  <c r="I369" i="1"/>
  <c r="J369" i="1"/>
  <c r="K369" i="1"/>
  <c r="I370" i="1"/>
  <c r="J370" i="1"/>
  <c r="K370" i="1"/>
  <c r="I371" i="1"/>
  <c r="J371" i="1"/>
  <c r="K371" i="1"/>
  <c r="I372" i="1"/>
  <c r="J372" i="1"/>
  <c r="K372" i="1"/>
  <c r="I373" i="1"/>
  <c r="J373" i="1"/>
  <c r="K373" i="1"/>
  <c r="I374" i="1"/>
  <c r="J374" i="1"/>
  <c r="K374" i="1"/>
  <c r="I375" i="1"/>
  <c r="J375" i="1"/>
  <c r="K375" i="1"/>
  <c r="I376" i="1"/>
  <c r="J376" i="1"/>
  <c r="K376" i="1"/>
  <c r="I377" i="1"/>
  <c r="J377" i="1"/>
  <c r="K377" i="1"/>
  <c r="I378" i="1"/>
  <c r="J378" i="1"/>
  <c r="K378" i="1"/>
  <c r="I379" i="1"/>
  <c r="J379" i="1"/>
  <c r="K379" i="1"/>
  <c r="I380" i="1"/>
  <c r="J380" i="1"/>
  <c r="K380" i="1"/>
  <c r="I381" i="1"/>
  <c r="J381" i="1"/>
  <c r="K381" i="1"/>
  <c r="I382" i="1"/>
  <c r="J382" i="1"/>
  <c r="K382" i="1"/>
  <c r="I383" i="1"/>
  <c r="J383" i="1"/>
  <c r="K383" i="1"/>
  <c r="I384" i="1"/>
  <c r="J384" i="1"/>
  <c r="K384" i="1"/>
  <c r="I385" i="1"/>
  <c r="J385" i="1"/>
  <c r="K385" i="1"/>
  <c r="I386" i="1"/>
  <c r="J386" i="1"/>
  <c r="K386" i="1"/>
  <c r="I387" i="1"/>
  <c r="J387" i="1"/>
  <c r="K387" i="1"/>
  <c r="I388" i="1"/>
  <c r="J388" i="1"/>
  <c r="K388" i="1"/>
  <c r="I389" i="1"/>
  <c r="J389" i="1"/>
  <c r="K389" i="1"/>
  <c r="I390" i="1"/>
  <c r="J390" i="1"/>
  <c r="K390" i="1"/>
  <c r="I391" i="1"/>
  <c r="J391" i="1"/>
  <c r="K391" i="1"/>
  <c r="I392" i="1"/>
  <c r="J392" i="1"/>
  <c r="K392" i="1"/>
  <c r="I393" i="1"/>
  <c r="J393" i="1"/>
  <c r="K393" i="1"/>
  <c r="I394" i="1"/>
  <c r="J394" i="1"/>
  <c r="K394" i="1"/>
  <c r="I395" i="1"/>
  <c r="J395" i="1"/>
  <c r="K395" i="1"/>
  <c r="I396" i="1"/>
  <c r="J396" i="1"/>
  <c r="K396" i="1"/>
  <c r="I397" i="1"/>
  <c r="J397" i="1"/>
  <c r="K397" i="1"/>
  <c r="I398" i="1"/>
  <c r="J398" i="1"/>
  <c r="K398" i="1"/>
  <c r="I399" i="1"/>
  <c r="J399" i="1"/>
  <c r="K399" i="1"/>
  <c r="I400" i="1"/>
  <c r="J400" i="1"/>
  <c r="K400" i="1"/>
  <c r="I401" i="1"/>
  <c r="J401" i="1"/>
  <c r="K401" i="1"/>
  <c r="I402" i="1"/>
  <c r="J402" i="1"/>
  <c r="K402" i="1"/>
  <c r="I403" i="1"/>
  <c r="J403" i="1"/>
  <c r="K403" i="1"/>
  <c r="I404" i="1"/>
  <c r="J404" i="1"/>
  <c r="K404" i="1"/>
  <c r="I405" i="1"/>
  <c r="J405" i="1"/>
  <c r="K405" i="1"/>
  <c r="I406" i="1"/>
  <c r="J406" i="1"/>
  <c r="K406" i="1"/>
  <c r="I407" i="1"/>
  <c r="J407" i="1"/>
  <c r="K407" i="1"/>
  <c r="I408" i="1"/>
  <c r="J408" i="1"/>
  <c r="K408" i="1"/>
  <c r="I409" i="1"/>
  <c r="J409" i="1"/>
  <c r="K409" i="1"/>
  <c r="I410" i="1"/>
  <c r="J410" i="1"/>
  <c r="K410" i="1"/>
  <c r="I411" i="1"/>
  <c r="J411" i="1"/>
  <c r="K411" i="1"/>
  <c r="I412" i="1"/>
  <c r="J412" i="1"/>
  <c r="K412" i="1"/>
  <c r="I413" i="1"/>
  <c r="J413" i="1"/>
  <c r="K413" i="1"/>
  <c r="I414" i="1"/>
  <c r="J414" i="1"/>
  <c r="K414" i="1"/>
  <c r="I415" i="1"/>
  <c r="J415" i="1"/>
  <c r="K415" i="1"/>
  <c r="I416" i="1"/>
  <c r="J416" i="1"/>
  <c r="K416" i="1"/>
  <c r="I417" i="1"/>
  <c r="J417" i="1"/>
  <c r="K417" i="1"/>
  <c r="I418" i="1"/>
  <c r="J418" i="1"/>
  <c r="K418" i="1"/>
  <c r="I419" i="1"/>
  <c r="J419" i="1"/>
  <c r="K419" i="1"/>
  <c r="I420" i="1"/>
  <c r="J420" i="1"/>
  <c r="K420" i="1"/>
  <c r="I421" i="1"/>
  <c r="J421" i="1"/>
  <c r="K421" i="1"/>
  <c r="I422" i="1"/>
  <c r="J422" i="1"/>
  <c r="K422" i="1"/>
  <c r="I423" i="1"/>
  <c r="J423" i="1"/>
  <c r="K423" i="1"/>
  <c r="I424" i="1"/>
  <c r="J424" i="1"/>
  <c r="K424" i="1"/>
  <c r="I425" i="1"/>
  <c r="J425" i="1"/>
  <c r="K425" i="1"/>
  <c r="I426" i="1"/>
  <c r="J426" i="1"/>
  <c r="K426" i="1"/>
  <c r="I427" i="1"/>
  <c r="J427" i="1"/>
  <c r="K427" i="1"/>
  <c r="I428" i="1"/>
  <c r="J428" i="1"/>
  <c r="K428" i="1"/>
  <c r="I429" i="1"/>
  <c r="J429" i="1"/>
  <c r="K429" i="1"/>
  <c r="I430" i="1"/>
  <c r="J430" i="1"/>
  <c r="K430" i="1"/>
  <c r="I431" i="1"/>
  <c r="J431" i="1"/>
  <c r="K431" i="1"/>
  <c r="I432" i="1"/>
  <c r="J432" i="1"/>
  <c r="K432" i="1"/>
  <c r="I433" i="1"/>
  <c r="J433" i="1"/>
  <c r="K433" i="1"/>
  <c r="I434" i="1"/>
  <c r="J434" i="1"/>
  <c r="K434" i="1"/>
  <c r="I435" i="1"/>
  <c r="J435" i="1"/>
  <c r="K435" i="1"/>
  <c r="I436" i="1"/>
  <c r="J436" i="1"/>
  <c r="K436" i="1"/>
  <c r="I437" i="1"/>
  <c r="J437" i="1"/>
  <c r="K437" i="1"/>
  <c r="I438" i="1"/>
  <c r="J438" i="1"/>
  <c r="K438" i="1"/>
  <c r="I439" i="1"/>
  <c r="J439" i="1"/>
  <c r="K439" i="1"/>
  <c r="I440" i="1"/>
  <c r="J440" i="1"/>
  <c r="K440" i="1"/>
  <c r="I441" i="1"/>
  <c r="J441" i="1"/>
  <c r="K441" i="1"/>
  <c r="I442" i="1"/>
  <c r="J442" i="1"/>
  <c r="K442" i="1"/>
  <c r="I443" i="1"/>
  <c r="J443" i="1"/>
  <c r="K443" i="1"/>
  <c r="I444" i="1"/>
  <c r="J444" i="1"/>
  <c r="K444" i="1"/>
  <c r="I445" i="1"/>
  <c r="J445" i="1"/>
  <c r="K445" i="1"/>
  <c r="I446" i="1"/>
  <c r="J446" i="1"/>
  <c r="K446" i="1"/>
  <c r="I447" i="1"/>
  <c r="J447" i="1"/>
  <c r="K447" i="1"/>
  <c r="I448" i="1"/>
  <c r="J448" i="1"/>
  <c r="K448" i="1"/>
  <c r="I449" i="1"/>
  <c r="J449" i="1"/>
  <c r="K449" i="1"/>
  <c r="I450" i="1"/>
  <c r="J450" i="1"/>
  <c r="K450" i="1"/>
  <c r="I451" i="1"/>
  <c r="J451" i="1"/>
  <c r="K451" i="1"/>
  <c r="I452" i="1"/>
  <c r="J452" i="1"/>
  <c r="K452" i="1"/>
  <c r="I453" i="1"/>
  <c r="J453" i="1"/>
  <c r="K453" i="1"/>
  <c r="I454" i="1"/>
  <c r="J454" i="1"/>
  <c r="K454" i="1"/>
  <c r="I455" i="1"/>
  <c r="J455" i="1"/>
  <c r="K455" i="1"/>
  <c r="I456" i="1"/>
  <c r="J456" i="1"/>
  <c r="K456" i="1"/>
  <c r="I457" i="1"/>
  <c r="J457" i="1"/>
  <c r="K457" i="1"/>
  <c r="I458" i="1"/>
  <c r="J458" i="1"/>
  <c r="K458" i="1"/>
  <c r="I459" i="1"/>
  <c r="J459" i="1"/>
  <c r="K459" i="1"/>
  <c r="I460" i="1"/>
  <c r="J460" i="1"/>
  <c r="K460" i="1"/>
  <c r="I461" i="1"/>
  <c r="J461" i="1"/>
  <c r="K461" i="1"/>
  <c r="I462" i="1"/>
  <c r="J462" i="1"/>
  <c r="K462" i="1"/>
  <c r="I463" i="1"/>
  <c r="J463" i="1"/>
  <c r="K463" i="1"/>
  <c r="I464" i="1"/>
  <c r="J464" i="1"/>
  <c r="K464" i="1"/>
  <c r="I465" i="1"/>
  <c r="J465" i="1"/>
  <c r="K465" i="1"/>
  <c r="I466" i="1"/>
  <c r="J466" i="1"/>
  <c r="K466" i="1"/>
  <c r="I467" i="1"/>
  <c r="J467" i="1"/>
  <c r="K467" i="1"/>
  <c r="I468" i="1"/>
  <c r="J468" i="1"/>
  <c r="K468" i="1"/>
  <c r="I469" i="1"/>
  <c r="J469" i="1"/>
  <c r="K469" i="1"/>
  <c r="I470" i="1"/>
  <c r="J470" i="1"/>
  <c r="K470" i="1"/>
  <c r="I471" i="1"/>
  <c r="J471" i="1"/>
  <c r="K471" i="1"/>
  <c r="I472" i="1"/>
  <c r="J472" i="1"/>
  <c r="K472" i="1"/>
  <c r="I473" i="1"/>
  <c r="J473" i="1"/>
  <c r="K473" i="1"/>
  <c r="I474" i="1"/>
  <c r="J474" i="1"/>
  <c r="K474" i="1"/>
  <c r="I475" i="1"/>
  <c r="J475" i="1"/>
  <c r="K475" i="1"/>
  <c r="I476" i="1"/>
  <c r="J476" i="1"/>
  <c r="K476" i="1"/>
  <c r="I477" i="1"/>
  <c r="J477" i="1"/>
  <c r="K477" i="1"/>
  <c r="I478" i="1"/>
  <c r="J478" i="1"/>
  <c r="K478" i="1"/>
  <c r="I479" i="1"/>
  <c r="J479" i="1"/>
  <c r="K479" i="1"/>
  <c r="I480" i="1"/>
  <c r="J480" i="1"/>
  <c r="K480" i="1"/>
  <c r="I481" i="1"/>
  <c r="J481" i="1"/>
  <c r="K481" i="1"/>
  <c r="I482" i="1"/>
  <c r="J482" i="1"/>
  <c r="K482" i="1"/>
  <c r="I483" i="1"/>
  <c r="J483" i="1"/>
  <c r="K483" i="1"/>
  <c r="I484" i="1"/>
  <c r="J484" i="1"/>
  <c r="K484" i="1"/>
  <c r="I485" i="1"/>
  <c r="J485" i="1"/>
  <c r="K485" i="1"/>
  <c r="I486" i="1"/>
  <c r="J486" i="1"/>
  <c r="K486" i="1"/>
  <c r="I487" i="1"/>
  <c r="J487" i="1"/>
  <c r="K487" i="1"/>
  <c r="I488" i="1"/>
  <c r="J488" i="1"/>
  <c r="K488" i="1"/>
  <c r="I489" i="1"/>
  <c r="J489" i="1"/>
  <c r="K489" i="1"/>
  <c r="I490" i="1"/>
  <c r="J490" i="1"/>
  <c r="K490" i="1"/>
  <c r="I491" i="1"/>
  <c r="J491" i="1"/>
  <c r="K491" i="1"/>
  <c r="I492" i="1"/>
  <c r="J492" i="1"/>
  <c r="K492" i="1"/>
  <c r="I493" i="1"/>
  <c r="J493" i="1"/>
  <c r="K493" i="1"/>
  <c r="I494" i="1"/>
  <c r="J494" i="1"/>
  <c r="K494" i="1"/>
  <c r="I495" i="1"/>
  <c r="J495" i="1"/>
  <c r="K495" i="1"/>
  <c r="I496" i="1"/>
  <c r="J496" i="1"/>
  <c r="K496" i="1"/>
  <c r="I497" i="1"/>
  <c r="J497" i="1"/>
  <c r="K497" i="1"/>
  <c r="I498" i="1"/>
  <c r="J498" i="1"/>
  <c r="K498" i="1"/>
  <c r="I499" i="1"/>
  <c r="J499" i="1"/>
  <c r="K499" i="1"/>
  <c r="I500" i="1"/>
  <c r="J500" i="1"/>
  <c r="K500" i="1"/>
  <c r="I501" i="1"/>
  <c r="J501" i="1"/>
  <c r="K501" i="1"/>
  <c r="I502" i="1"/>
  <c r="J502" i="1"/>
  <c r="K502" i="1"/>
  <c r="I503" i="1"/>
  <c r="J503" i="1"/>
  <c r="K503" i="1"/>
  <c r="I504" i="1"/>
  <c r="J504" i="1"/>
  <c r="K504" i="1"/>
  <c r="I505" i="1"/>
  <c r="J505" i="1"/>
  <c r="K505" i="1"/>
  <c r="I506" i="1"/>
  <c r="J506" i="1"/>
  <c r="K506" i="1"/>
  <c r="I507" i="1"/>
  <c r="J507" i="1"/>
  <c r="K507" i="1"/>
  <c r="I508" i="1"/>
  <c r="J508" i="1"/>
  <c r="K508" i="1"/>
  <c r="I509" i="1"/>
  <c r="J509" i="1"/>
  <c r="K509" i="1"/>
  <c r="I510" i="1"/>
  <c r="J510" i="1"/>
  <c r="K510" i="1"/>
  <c r="I511" i="1"/>
  <c r="J511" i="1"/>
  <c r="K511" i="1"/>
  <c r="I512" i="1"/>
  <c r="J512" i="1"/>
  <c r="K512" i="1"/>
  <c r="I513" i="1"/>
  <c r="J513" i="1"/>
  <c r="K513" i="1"/>
  <c r="I514" i="1"/>
  <c r="J514" i="1"/>
  <c r="K514" i="1"/>
  <c r="I515" i="1"/>
  <c r="J515" i="1"/>
  <c r="K515" i="1"/>
  <c r="I516" i="1"/>
  <c r="J516" i="1"/>
  <c r="K516" i="1"/>
  <c r="I517" i="1"/>
  <c r="J517" i="1"/>
  <c r="K517" i="1"/>
  <c r="I518" i="1"/>
  <c r="J518" i="1"/>
  <c r="K518" i="1"/>
  <c r="I519" i="1"/>
  <c r="J519" i="1"/>
  <c r="K519" i="1"/>
  <c r="I520" i="1"/>
  <c r="J520" i="1"/>
  <c r="K520" i="1"/>
  <c r="I521" i="1"/>
  <c r="J521" i="1"/>
  <c r="K521" i="1"/>
  <c r="I522" i="1"/>
  <c r="J522" i="1"/>
  <c r="K522" i="1"/>
  <c r="I523" i="1"/>
  <c r="J523" i="1"/>
  <c r="K523" i="1"/>
  <c r="I524" i="1"/>
  <c r="J524" i="1"/>
  <c r="K524" i="1"/>
  <c r="I525" i="1"/>
  <c r="J525" i="1"/>
  <c r="K525" i="1"/>
  <c r="I526" i="1"/>
  <c r="J526" i="1"/>
  <c r="K526" i="1"/>
  <c r="I527" i="1"/>
  <c r="J527" i="1"/>
  <c r="K527" i="1"/>
  <c r="I528" i="1"/>
  <c r="J528" i="1"/>
  <c r="K528" i="1"/>
  <c r="I529" i="1"/>
  <c r="J529" i="1"/>
  <c r="K529" i="1"/>
  <c r="I530" i="1"/>
  <c r="J530" i="1"/>
  <c r="K530" i="1"/>
  <c r="I531" i="1"/>
  <c r="J531" i="1"/>
  <c r="K531" i="1"/>
  <c r="I532" i="1"/>
  <c r="J532" i="1"/>
  <c r="K532" i="1"/>
  <c r="I533" i="1"/>
  <c r="J533" i="1"/>
  <c r="K533" i="1"/>
  <c r="I534" i="1"/>
  <c r="J534" i="1"/>
  <c r="K534" i="1"/>
  <c r="I535" i="1"/>
  <c r="J535" i="1"/>
  <c r="K535" i="1"/>
  <c r="I536" i="1"/>
  <c r="J536" i="1"/>
  <c r="K536" i="1"/>
  <c r="I537" i="1"/>
  <c r="J537" i="1"/>
  <c r="K537" i="1"/>
  <c r="I538" i="1"/>
  <c r="J538" i="1"/>
  <c r="K538" i="1"/>
  <c r="I539" i="1"/>
  <c r="J539" i="1"/>
  <c r="K539" i="1"/>
  <c r="I540" i="1"/>
  <c r="J540" i="1"/>
  <c r="K540" i="1"/>
  <c r="I541" i="1"/>
  <c r="J541" i="1"/>
  <c r="K541" i="1"/>
  <c r="I542" i="1"/>
  <c r="J542" i="1"/>
  <c r="K542" i="1"/>
  <c r="I543" i="1"/>
  <c r="J543" i="1"/>
  <c r="K543" i="1"/>
  <c r="I544" i="1"/>
  <c r="J544" i="1"/>
  <c r="K544" i="1"/>
  <c r="I545" i="1"/>
  <c r="J545" i="1"/>
  <c r="K545" i="1"/>
  <c r="I546" i="1"/>
  <c r="J546" i="1"/>
  <c r="K546" i="1"/>
  <c r="I547" i="1"/>
  <c r="J547" i="1"/>
  <c r="K547" i="1"/>
  <c r="I548" i="1"/>
  <c r="J548" i="1"/>
  <c r="K548" i="1"/>
  <c r="I549" i="1"/>
  <c r="J549" i="1"/>
  <c r="K549" i="1"/>
  <c r="I550" i="1"/>
  <c r="J550" i="1"/>
  <c r="K550" i="1"/>
  <c r="I551" i="1"/>
  <c r="J551" i="1"/>
  <c r="K551" i="1"/>
  <c r="I552" i="1"/>
  <c r="J552" i="1"/>
  <c r="K552" i="1"/>
  <c r="I553" i="1"/>
  <c r="J553" i="1"/>
  <c r="K553" i="1"/>
  <c r="I554" i="1"/>
  <c r="J554" i="1"/>
  <c r="K554" i="1"/>
  <c r="I555" i="1"/>
  <c r="J555" i="1"/>
  <c r="K555" i="1"/>
  <c r="I556" i="1"/>
  <c r="J556" i="1"/>
  <c r="K556" i="1"/>
  <c r="I557" i="1"/>
  <c r="J557" i="1"/>
  <c r="K557" i="1"/>
  <c r="I558" i="1"/>
  <c r="J558" i="1"/>
  <c r="K558" i="1"/>
  <c r="I559" i="1"/>
  <c r="J559" i="1"/>
  <c r="K559" i="1"/>
  <c r="I560" i="1"/>
  <c r="J560" i="1"/>
  <c r="K560" i="1"/>
  <c r="I561" i="1"/>
  <c r="J561" i="1"/>
  <c r="K561" i="1"/>
  <c r="I562" i="1"/>
  <c r="J562" i="1"/>
  <c r="K562" i="1"/>
  <c r="I563" i="1"/>
  <c r="J563" i="1"/>
  <c r="K563" i="1"/>
  <c r="I564" i="1"/>
  <c r="J564" i="1"/>
  <c r="K564" i="1"/>
  <c r="I565" i="1"/>
  <c r="J565" i="1"/>
  <c r="K565" i="1"/>
  <c r="I566" i="1"/>
  <c r="J566" i="1"/>
  <c r="K566" i="1"/>
  <c r="I567" i="1"/>
  <c r="J567" i="1"/>
  <c r="K567" i="1"/>
  <c r="I568" i="1"/>
  <c r="J568" i="1"/>
  <c r="K568" i="1"/>
  <c r="I569" i="1"/>
  <c r="J569" i="1"/>
  <c r="K569" i="1"/>
  <c r="I570" i="1"/>
  <c r="J570" i="1"/>
  <c r="K570" i="1"/>
  <c r="I571" i="1"/>
  <c r="J571" i="1"/>
  <c r="K571" i="1"/>
  <c r="I572" i="1"/>
  <c r="J572" i="1"/>
  <c r="K572" i="1"/>
  <c r="I573" i="1"/>
  <c r="J573" i="1"/>
  <c r="K573" i="1"/>
  <c r="I574" i="1"/>
  <c r="J574" i="1"/>
  <c r="K574" i="1"/>
  <c r="I575" i="1"/>
  <c r="J575" i="1"/>
  <c r="K575" i="1"/>
  <c r="I576" i="1"/>
  <c r="J576" i="1"/>
  <c r="K576" i="1"/>
  <c r="I577" i="1"/>
  <c r="J577" i="1"/>
  <c r="K577" i="1"/>
  <c r="I578" i="1"/>
  <c r="J578" i="1"/>
  <c r="K578" i="1"/>
  <c r="I579" i="1"/>
  <c r="J579" i="1"/>
  <c r="K579" i="1"/>
  <c r="I580" i="1"/>
  <c r="J580" i="1"/>
  <c r="K580" i="1"/>
  <c r="I581" i="1"/>
  <c r="J581" i="1"/>
  <c r="K581" i="1"/>
  <c r="I582" i="1"/>
  <c r="J582" i="1"/>
  <c r="K582" i="1"/>
  <c r="I583" i="1"/>
  <c r="J583" i="1"/>
  <c r="K583" i="1"/>
  <c r="I584" i="1"/>
  <c r="J584" i="1"/>
  <c r="K584" i="1"/>
  <c r="I585" i="1"/>
  <c r="J585" i="1"/>
  <c r="K585" i="1"/>
  <c r="I586" i="1"/>
  <c r="J586" i="1"/>
  <c r="K586" i="1"/>
  <c r="I587" i="1"/>
  <c r="J587" i="1"/>
  <c r="K587" i="1"/>
  <c r="I588" i="1"/>
  <c r="J588" i="1"/>
  <c r="K588" i="1"/>
  <c r="I589" i="1"/>
  <c r="J589" i="1"/>
  <c r="K589" i="1"/>
  <c r="I590" i="1"/>
  <c r="J590" i="1"/>
  <c r="K590" i="1"/>
  <c r="I591" i="1"/>
  <c r="J591" i="1"/>
  <c r="K591" i="1"/>
  <c r="I592" i="1"/>
  <c r="J592" i="1"/>
  <c r="K592" i="1"/>
  <c r="I593" i="1"/>
  <c r="J593" i="1"/>
  <c r="K593" i="1"/>
  <c r="I594" i="1"/>
  <c r="J594" i="1"/>
  <c r="K594" i="1"/>
  <c r="I595" i="1"/>
  <c r="J595" i="1"/>
  <c r="K595" i="1"/>
  <c r="I596" i="1"/>
  <c r="J596" i="1"/>
  <c r="K596" i="1"/>
  <c r="I597" i="1"/>
  <c r="J597" i="1"/>
  <c r="K597" i="1"/>
  <c r="I598" i="1"/>
  <c r="J598" i="1"/>
  <c r="K598" i="1"/>
  <c r="I599" i="1"/>
  <c r="J599" i="1"/>
  <c r="K599" i="1"/>
  <c r="I600" i="1"/>
  <c r="J600" i="1"/>
  <c r="K600" i="1"/>
  <c r="I601" i="1"/>
  <c r="J601" i="1"/>
  <c r="K601" i="1"/>
  <c r="I602" i="1"/>
  <c r="J602" i="1"/>
  <c r="K602" i="1"/>
  <c r="I603" i="1"/>
  <c r="J603" i="1"/>
  <c r="K603" i="1"/>
  <c r="I604" i="1"/>
  <c r="J604" i="1"/>
  <c r="K604" i="1"/>
  <c r="I605" i="1"/>
  <c r="J605" i="1"/>
  <c r="K605" i="1"/>
  <c r="I606" i="1"/>
  <c r="J606" i="1"/>
  <c r="K606" i="1"/>
  <c r="I607" i="1"/>
  <c r="J607" i="1"/>
  <c r="K607" i="1"/>
  <c r="I608" i="1"/>
  <c r="J608" i="1"/>
  <c r="K608" i="1"/>
  <c r="I609" i="1"/>
  <c r="J609" i="1"/>
  <c r="K609" i="1"/>
  <c r="I610" i="1"/>
  <c r="J610" i="1"/>
  <c r="K610" i="1"/>
  <c r="I611" i="1"/>
  <c r="J611" i="1"/>
  <c r="K611" i="1"/>
  <c r="I612" i="1"/>
  <c r="J612" i="1"/>
  <c r="K612" i="1"/>
  <c r="I613" i="1"/>
  <c r="J613" i="1"/>
  <c r="K613" i="1"/>
  <c r="I614" i="1"/>
  <c r="J614" i="1"/>
  <c r="K614" i="1"/>
  <c r="I615" i="1"/>
  <c r="J615" i="1"/>
  <c r="K615" i="1"/>
  <c r="I616" i="1"/>
  <c r="J616" i="1"/>
  <c r="K616" i="1"/>
  <c r="I617" i="1"/>
  <c r="J617" i="1"/>
  <c r="K617" i="1"/>
  <c r="I618" i="1"/>
  <c r="J618" i="1"/>
  <c r="K618" i="1"/>
  <c r="I619" i="1"/>
  <c r="J619" i="1"/>
  <c r="K619" i="1"/>
  <c r="I620" i="1"/>
  <c r="J620" i="1"/>
  <c r="K620" i="1"/>
  <c r="I621" i="1"/>
  <c r="J621" i="1"/>
  <c r="K621" i="1"/>
  <c r="I622" i="1"/>
  <c r="J622" i="1"/>
  <c r="K622" i="1"/>
  <c r="I623" i="1"/>
  <c r="J623" i="1"/>
  <c r="K623" i="1"/>
  <c r="I624" i="1"/>
  <c r="J624" i="1"/>
  <c r="K624" i="1"/>
  <c r="I625" i="1"/>
  <c r="J625" i="1"/>
  <c r="K625" i="1"/>
  <c r="I626" i="1"/>
  <c r="J626" i="1"/>
  <c r="K626" i="1"/>
  <c r="I627" i="1"/>
  <c r="J627" i="1"/>
  <c r="K627" i="1"/>
  <c r="I628" i="1"/>
  <c r="J628" i="1"/>
  <c r="K628" i="1"/>
  <c r="I629" i="1"/>
  <c r="J629" i="1"/>
  <c r="K629" i="1"/>
  <c r="I630" i="1"/>
  <c r="J630" i="1"/>
  <c r="K630" i="1"/>
  <c r="I631" i="1"/>
  <c r="J631" i="1"/>
  <c r="K631" i="1"/>
  <c r="I632" i="1"/>
  <c r="J632" i="1"/>
  <c r="K632" i="1"/>
  <c r="I633" i="1"/>
  <c r="J633" i="1"/>
  <c r="K633" i="1"/>
  <c r="I634" i="1"/>
  <c r="J634" i="1"/>
  <c r="K634" i="1"/>
  <c r="I635" i="1"/>
  <c r="J635" i="1"/>
  <c r="K635" i="1"/>
  <c r="I636" i="1"/>
  <c r="J636" i="1"/>
  <c r="K636" i="1"/>
  <c r="I637" i="1"/>
  <c r="J637" i="1"/>
  <c r="K637" i="1"/>
  <c r="I638" i="1"/>
  <c r="J638" i="1"/>
  <c r="K638" i="1"/>
  <c r="I639" i="1"/>
  <c r="J639" i="1"/>
  <c r="K639" i="1"/>
  <c r="I640" i="1"/>
  <c r="J640" i="1"/>
  <c r="K640" i="1"/>
  <c r="I641" i="1"/>
  <c r="J641" i="1"/>
  <c r="K641" i="1"/>
  <c r="I642" i="1"/>
  <c r="J642" i="1"/>
  <c r="K642" i="1"/>
  <c r="I643" i="1"/>
  <c r="J643" i="1"/>
  <c r="K643" i="1"/>
  <c r="I644" i="1"/>
  <c r="J644" i="1"/>
  <c r="K644" i="1"/>
  <c r="I645" i="1"/>
  <c r="J645" i="1"/>
  <c r="K645" i="1"/>
  <c r="I646" i="1"/>
  <c r="J646" i="1"/>
  <c r="K646" i="1"/>
  <c r="I647" i="1"/>
  <c r="J647" i="1"/>
  <c r="K647" i="1"/>
  <c r="I648" i="1"/>
  <c r="J648" i="1"/>
  <c r="K648" i="1"/>
  <c r="I649" i="1"/>
  <c r="J649" i="1"/>
  <c r="K649" i="1"/>
  <c r="I650" i="1"/>
  <c r="J650" i="1"/>
  <c r="K650" i="1"/>
  <c r="I651" i="1"/>
  <c r="J651" i="1"/>
  <c r="K651" i="1"/>
  <c r="I652" i="1"/>
  <c r="J652" i="1"/>
  <c r="K652" i="1"/>
  <c r="I653" i="1"/>
  <c r="J653" i="1"/>
  <c r="K653" i="1"/>
  <c r="I654" i="1"/>
  <c r="J654" i="1"/>
  <c r="K654" i="1"/>
  <c r="I655" i="1"/>
  <c r="J655" i="1"/>
  <c r="K655" i="1"/>
  <c r="I656" i="1"/>
  <c r="J656" i="1"/>
  <c r="K656" i="1"/>
  <c r="I657" i="1"/>
  <c r="J657" i="1"/>
  <c r="K657" i="1"/>
  <c r="I658" i="1"/>
  <c r="J658" i="1"/>
  <c r="K658" i="1"/>
  <c r="I659" i="1"/>
  <c r="J659" i="1"/>
  <c r="K659" i="1"/>
  <c r="I660" i="1"/>
  <c r="J660" i="1"/>
  <c r="K660" i="1"/>
  <c r="I661" i="1"/>
  <c r="J661" i="1"/>
  <c r="K661" i="1"/>
  <c r="I662" i="1"/>
  <c r="J662" i="1"/>
  <c r="K662" i="1"/>
  <c r="I663" i="1"/>
  <c r="J663" i="1"/>
  <c r="K663" i="1"/>
  <c r="I664" i="1"/>
  <c r="J664" i="1"/>
  <c r="K664" i="1"/>
  <c r="I665" i="1"/>
  <c r="J665" i="1"/>
  <c r="K665" i="1"/>
  <c r="I666" i="1"/>
  <c r="J666" i="1"/>
  <c r="K666" i="1"/>
  <c r="I667" i="1"/>
  <c r="J667" i="1"/>
  <c r="K667" i="1"/>
  <c r="I668" i="1"/>
  <c r="J668" i="1"/>
  <c r="K668" i="1"/>
  <c r="I669" i="1"/>
  <c r="J669" i="1"/>
  <c r="K669" i="1"/>
  <c r="I670" i="1"/>
  <c r="J670" i="1"/>
  <c r="K670" i="1"/>
  <c r="I671" i="1"/>
  <c r="J671" i="1"/>
  <c r="K671" i="1"/>
  <c r="I672" i="1"/>
  <c r="J672" i="1"/>
  <c r="K672" i="1"/>
  <c r="I673" i="1"/>
  <c r="J673" i="1"/>
  <c r="K673" i="1"/>
  <c r="I674" i="1"/>
  <c r="J674" i="1"/>
  <c r="K674" i="1"/>
  <c r="I675" i="1"/>
  <c r="J675" i="1"/>
  <c r="K675" i="1"/>
  <c r="I676" i="1"/>
  <c r="J676" i="1"/>
  <c r="K676" i="1"/>
  <c r="I677" i="1"/>
  <c r="J677" i="1"/>
  <c r="K677" i="1"/>
  <c r="I678" i="1"/>
  <c r="J678" i="1"/>
  <c r="K678" i="1"/>
  <c r="I679" i="1"/>
  <c r="J679" i="1"/>
  <c r="K679" i="1"/>
  <c r="K3" i="1"/>
  <c r="J3" i="1"/>
  <c r="I3" i="1"/>
  <c r="K2" i="1"/>
  <c r="J2" i="1"/>
  <c r="I2" i="1"/>
  <c r="X2" i="1"/>
  <c r="W2" i="1"/>
  <c r="W2" i="1" a="1"/>
  <c r="U2" i="1"/>
  <c r="V2" i="1" s="1"/>
  <c r="T2" i="1" a="1"/>
  <c r="T2" i="1" s="1"/>
  <c r="L2" i="1" l="1"/>
  <c r="Q2" i="1" s="1"/>
  <c r="M2" i="1"/>
  <c r="N2" i="1"/>
  <c r="O2" i="1"/>
  <c r="R2" i="1" l="1"/>
  <c r="S2" i="1" s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<sst xmlns="http://schemas.openxmlformats.org/spreadsheetml/2006/main" count="1380" uniqueCount="702">
  <si>
    <t>EGG_ID</t>
  </si>
  <si>
    <t>Yolk_Score</t>
  </si>
  <si>
    <t>White_Score</t>
  </si>
  <si>
    <t>True_Score</t>
  </si>
  <si>
    <t>Predicted_EGG_ID</t>
  </si>
  <si>
    <t>Predicted_Yolk_Score</t>
  </si>
  <si>
    <t>Predicted_White_Score</t>
  </si>
  <si>
    <t>Predicted_Score</t>
  </si>
  <si>
    <t>778_aug_0_6445</t>
  </si>
  <si>
    <t>778_aug_0_6379</t>
  </si>
  <si>
    <t>778_aug_0_5916</t>
  </si>
  <si>
    <t>778_aug_0_58</t>
  </si>
  <si>
    <t>778_aug_0_2107</t>
  </si>
  <si>
    <t>778</t>
  </si>
  <si>
    <t>725_aug_0_7790</t>
  </si>
  <si>
    <t>725_aug_0_6010</t>
  </si>
  <si>
    <t>725_aug_0_5781</t>
  </si>
  <si>
    <t>725_aug_0_5369</t>
  </si>
  <si>
    <t>725_aug_0_4829</t>
  </si>
  <si>
    <t>725</t>
  </si>
  <si>
    <t>705_aug_0_944</t>
  </si>
  <si>
    <t>705_aug_0_6419</t>
  </si>
  <si>
    <t>705_aug_0_4366</t>
  </si>
  <si>
    <t>705_aug_0_3037</t>
  </si>
  <si>
    <t>705_aug_0_2184</t>
  </si>
  <si>
    <t>705</t>
  </si>
  <si>
    <t>682_aug_0_7972</t>
  </si>
  <si>
    <t>682_aug_0_6718</t>
  </si>
  <si>
    <t>682_aug_0_5420</t>
  </si>
  <si>
    <t>682_aug_0_4980</t>
  </si>
  <si>
    <t>682_aug_0_2736</t>
  </si>
  <si>
    <t>682</t>
  </si>
  <si>
    <t>664_aug_0_9378</t>
  </si>
  <si>
    <t>664_aug_0_8804</t>
  </si>
  <si>
    <t>664_aug_0_6555</t>
  </si>
  <si>
    <t>664_aug_0_6361</t>
  </si>
  <si>
    <t>664_aug_0_5383</t>
  </si>
  <si>
    <t>664</t>
  </si>
  <si>
    <t>609_aug_0_8889</t>
  </si>
  <si>
    <t>609_aug_0_8160</t>
  </si>
  <si>
    <t>609_aug_0_3531</t>
  </si>
  <si>
    <t>609_aug_0_311</t>
  </si>
  <si>
    <t>609_aug_0_2355</t>
  </si>
  <si>
    <t>609</t>
  </si>
  <si>
    <t>591_aug_0_8949</t>
  </si>
  <si>
    <t>591_aug_0_6998</t>
  </si>
  <si>
    <t>591_aug_0_6809</t>
  </si>
  <si>
    <t>591_aug_0_3765</t>
  </si>
  <si>
    <t>591_aug_0_1091</t>
  </si>
  <si>
    <t>591</t>
  </si>
  <si>
    <t>572_aug_0_9232</t>
  </si>
  <si>
    <t>572_aug_0_8432</t>
  </si>
  <si>
    <t>572_aug_0_6990</t>
  </si>
  <si>
    <t>572_aug_0_6384</t>
  </si>
  <si>
    <t>572_aug_0_1614</t>
  </si>
  <si>
    <t>572</t>
  </si>
  <si>
    <t>562_aug_0_8180</t>
  </si>
  <si>
    <t>562_aug_0_7851</t>
  </si>
  <si>
    <t>562_aug_0_6564</t>
  </si>
  <si>
    <t>562_aug_0_4696</t>
  </si>
  <si>
    <t>562_aug_0_4211</t>
  </si>
  <si>
    <t>562</t>
  </si>
  <si>
    <t>558_aug_0_9621</t>
  </si>
  <si>
    <t>558_aug_0_8138</t>
  </si>
  <si>
    <t>558_aug_0_8094</t>
  </si>
  <si>
    <t>558_aug_0_7069</t>
  </si>
  <si>
    <t>558_aug_0_508</t>
  </si>
  <si>
    <t>558</t>
  </si>
  <si>
    <t>545_aug_0_8805</t>
  </si>
  <si>
    <t>545_aug_0_8401</t>
  </si>
  <si>
    <t>545_aug_0_7677</t>
  </si>
  <si>
    <t>545_aug_0_5440</t>
  </si>
  <si>
    <t>545_aug_0_2797</t>
  </si>
  <si>
    <t>545</t>
  </si>
  <si>
    <t>529_aug_0_6868</t>
  </si>
  <si>
    <t>529_aug_0_5324</t>
  </si>
  <si>
    <t>529_aug_0_4305</t>
  </si>
  <si>
    <t>529_aug_0_4109</t>
  </si>
  <si>
    <t>529_aug_0_1741</t>
  </si>
  <si>
    <t>529</t>
  </si>
  <si>
    <t>512_aug_0_8915</t>
  </si>
  <si>
    <t>512_aug_0_6685</t>
  </si>
  <si>
    <t>512_aug_0_5229</t>
  </si>
  <si>
    <t>512_aug_0_1952</t>
  </si>
  <si>
    <t>512_aug_0_1208</t>
  </si>
  <si>
    <t>512</t>
  </si>
  <si>
    <t>486_aug_0_840</t>
  </si>
  <si>
    <t>486_aug_0_7515</t>
  </si>
  <si>
    <t>486_aug_0_5949</t>
  </si>
  <si>
    <t>486_aug_0_207</t>
  </si>
  <si>
    <t>486_aug_0_1072</t>
  </si>
  <si>
    <t>486</t>
  </si>
  <si>
    <t>470_aug_0_8119</t>
  </si>
  <si>
    <t>470_aug_0_7429</t>
  </si>
  <si>
    <t>470_aug_0_6864</t>
  </si>
  <si>
    <t>470_aug_0_4685</t>
  </si>
  <si>
    <t>470_aug_0_4404</t>
  </si>
  <si>
    <t>470</t>
  </si>
  <si>
    <t>463_aug_0_9182</t>
  </si>
  <si>
    <t>463_aug_0_8973</t>
  </si>
  <si>
    <t>463_aug_0_6300</t>
  </si>
  <si>
    <t>463_aug_0_5609</t>
  </si>
  <si>
    <t>463_aug_0_5420</t>
  </si>
  <si>
    <t>463</t>
  </si>
  <si>
    <t>457_aug_0_8195</t>
  </si>
  <si>
    <t>457_aug_0_8151</t>
  </si>
  <si>
    <t>457_aug_0_7466</t>
  </si>
  <si>
    <t>457_aug_0_3665</t>
  </si>
  <si>
    <t>457_aug_0_1512</t>
  </si>
  <si>
    <t>457</t>
  </si>
  <si>
    <t>444_aug_0_6495</t>
  </si>
  <si>
    <t>444_aug_0_1949</t>
  </si>
  <si>
    <t>444_aug_0_1666</t>
  </si>
  <si>
    <t>444_aug_0_1650</t>
  </si>
  <si>
    <t>444_aug_0_1295</t>
  </si>
  <si>
    <t>444</t>
  </si>
  <si>
    <t>429_aug_0_7160</t>
  </si>
  <si>
    <t>429_aug_0_1985</t>
  </si>
  <si>
    <t>429_aug_0_1722</t>
  </si>
  <si>
    <t>429_aug_0_1302</t>
  </si>
  <si>
    <t>429_aug_0_1177</t>
  </si>
  <si>
    <t>429</t>
  </si>
  <si>
    <t>425_aug_0_9419</t>
  </si>
  <si>
    <t>425_aug_0_694</t>
  </si>
  <si>
    <t>425_aug_0_2569</t>
  </si>
  <si>
    <t>425_aug_0_2042</t>
  </si>
  <si>
    <t>425_aug_0_1890</t>
  </si>
  <si>
    <t>425</t>
  </si>
  <si>
    <t>417_aug_0_866</t>
  </si>
  <si>
    <t>417_aug_0_8571</t>
  </si>
  <si>
    <t>417_aug_0_6409</t>
  </si>
  <si>
    <t>417_aug_0_4711</t>
  </si>
  <si>
    <t>417_aug_0_4295</t>
  </si>
  <si>
    <t>417</t>
  </si>
  <si>
    <t>408_aug_0_8969</t>
  </si>
  <si>
    <t>408_aug_0_8636</t>
  </si>
  <si>
    <t>408_aug_0_6754</t>
  </si>
  <si>
    <t>408_aug_0_6492</t>
  </si>
  <si>
    <t>408_aug_0_2113</t>
  </si>
  <si>
    <t>408</t>
  </si>
  <si>
    <t>401_aug_0_9991</t>
  </si>
  <si>
    <t>401_aug_0_6306</t>
  </si>
  <si>
    <t>401_aug_0_5489</t>
  </si>
  <si>
    <t>401_aug_0_3123</t>
  </si>
  <si>
    <t>401_aug_0_308</t>
  </si>
  <si>
    <t>401</t>
  </si>
  <si>
    <t>2146_aug_0_5619</t>
  </si>
  <si>
    <t>2146_aug_0_5355</t>
  </si>
  <si>
    <t>2146_aug_0_2652</t>
  </si>
  <si>
    <t>2146_aug_0_2428</t>
  </si>
  <si>
    <t>2146_aug_0_1625</t>
  </si>
  <si>
    <t>2146</t>
  </si>
  <si>
    <t>2122_aug_0_9955</t>
  </si>
  <si>
    <t>2122_aug_0_6208</t>
  </si>
  <si>
    <t>2122_aug_0_4116</t>
  </si>
  <si>
    <t>2122_aug_0_397</t>
  </si>
  <si>
    <t>2122_aug_0_363</t>
  </si>
  <si>
    <t>2122</t>
  </si>
  <si>
    <t>2115_aug_0_8177</t>
  </si>
  <si>
    <t>2115_aug_0_7706</t>
  </si>
  <si>
    <t>2115_aug_0_7528</t>
  </si>
  <si>
    <t>2115_aug_0_3674</t>
  </si>
  <si>
    <t>2115_aug_0_1386</t>
  </si>
  <si>
    <t>2115</t>
  </si>
  <si>
    <t>2111_aug_0_9294</t>
  </si>
  <si>
    <t>2111_aug_0_6525</t>
  </si>
  <si>
    <t>2111_aug_0_5770</t>
  </si>
  <si>
    <t>2111_aug_0_3498</t>
  </si>
  <si>
    <t>2111_aug_0_3321</t>
  </si>
  <si>
    <t>2111</t>
  </si>
  <si>
    <t>2109_aug_0_8092</t>
  </si>
  <si>
    <t>2109_aug_0_5825</t>
  </si>
  <si>
    <t>2109_aug_0_5052</t>
  </si>
  <si>
    <t>2109_aug_0_4733</t>
  </si>
  <si>
    <t>2109_aug_0_1639</t>
  </si>
  <si>
    <t>2109</t>
  </si>
  <si>
    <t>2105_aug_0_849</t>
  </si>
  <si>
    <t>2105_aug_0_6076</t>
  </si>
  <si>
    <t>2105_aug_0_5225</t>
  </si>
  <si>
    <t>2105_aug_0_3868</t>
  </si>
  <si>
    <t>2105_aug_0_204</t>
  </si>
  <si>
    <t>2105</t>
  </si>
  <si>
    <t>2097_aug_0_7969</t>
  </si>
  <si>
    <t>2097_aug_0_6772</t>
  </si>
  <si>
    <t>2097_aug_0_6396</t>
  </si>
  <si>
    <t>2097_aug_0_2458</t>
  </si>
  <si>
    <t>2097_aug_0_226</t>
  </si>
  <si>
    <t>2097</t>
  </si>
  <si>
    <t>2086_aug_0_9418</t>
  </si>
  <si>
    <t>2086_aug_0_7315</t>
  </si>
  <si>
    <t>2086_aug_0_6462</t>
  </si>
  <si>
    <t>2086_aug_0_5142</t>
  </si>
  <si>
    <t>2086_aug_0_137</t>
  </si>
  <si>
    <t>2086</t>
  </si>
  <si>
    <t>2074_aug_0_8456</t>
  </si>
  <si>
    <t>2074_aug_0_707</t>
  </si>
  <si>
    <t>2074_aug_0_6905</t>
  </si>
  <si>
    <t>2074_aug_0_6171</t>
  </si>
  <si>
    <t>2074_aug_0_5087</t>
  </si>
  <si>
    <t>2074</t>
  </si>
  <si>
    <t>2069_aug_0_9228</t>
  </si>
  <si>
    <t>2069_aug_0_8256</t>
  </si>
  <si>
    <t>2069_aug_0_3969</t>
  </si>
  <si>
    <t>2069_aug_0_3539</t>
  </si>
  <si>
    <t>2069_aug_0_2368</t>
  </si>
  <si>
    <t>2069</t>
  </si>
  <si>
    <t>2050_aug_0_9895</t>
  </si>
  <si>
    <t>2050_aug_0_967</t>
  </si>
  <si>
    <t>2050_aug_0_8493</t>
  </si>
  <si>
    <t>2050_aug_0_8047</t>
  </si>
  <si>
    <t>2050_aug_0_6306</t>
  </si>
  <si>
    <t>2050</t>
  </si>
  <si>
    <t>2035_aug_0_7105</t>
  </si>
  <si>
    <t>2035_aug_0_5743</t>
  </si>
  <si>
    <t>2035_aug_0_5579</t>
  </si>
  <si>
    <t>2035_aug_0_5403</t>
  </si>
  <si>
    <t>2035_aug_0_2911</t>
  </si>
  <si>
    <t>2035</t>
  </si>
  <si>
    <t>2025_aug_0_9221</t>
  </si>
  <si>
    <t>2025_aug_0_8775</t>
  </si>
  <si>
    <t>2025_aug_0_8768</t>
  </si>
  <si>
    <t>2025_aug_0_8767</t>
  </si>
  <si>
    <t>2025_aug_0_7903</t>
  </si>
  <si>
    <t>2025</t>
  </si>
  <si>
    <t>2015_aug_0_8104</t>
  </si>
  <si>
    <t>2015_aug_0_539</t>
  </si>
  <si>
    <t>2015_aug_0_4171</t>
  </si>
  <si>
    <t>2015_aug_0_174</t>
  </si>
  <si>
    <t>2015_aug_0_1401</t>
  </si>
  <si>
    <t>2015</t>
  </si>
  <si>
    <t>2003_aug_0_8905</t>
  </si>
  <si>
    <t>2003_aug_0_8792</t>
  </si>
  <si>
    <t>2003_aug_0_6567</t>
  </si>
  <si>
    <t>2003_aug_0_6465</t>
  </si>
  <si>
    <t>2003_aug_0_1773</t>
  </si>
  <si>
    <t>2003</t>
  </si>
  <si>
    <t>1986_aug_0_9546</t>
  </si>
  <si>
    <t>1986_aug_0_4448</t>
  </si>
  <si>
    <t>1986_aug_0_3387</t>
  </si>
  <si>
    <t>1986_aug_0_2875</t>
  </si>
  <si>
    <t>1986_aug_0_2622</t>
  </si>
  <si>
    <t>1986</t>
  </si>
  <si>
    <t>1969_aug_0_8640</t>
  </si>
  <si>
    <t>1969_aug_0_7199</t>
  </si>
  <si>
    <t>1969_aug_0_331</t>
  </si>
  <si>
    <t>1969_aug_0_2806</t>
  </si>
  <si>
    <t>1969_aug_0_1954</t>
  </si>
  <si>
    <t>1969</t>
  </si>
  <si>
    <t>1953_aug_0_8038</t>
  </si>
  <si>
    <t>1953_aug_0_5416</t>
  </si>
  <si>
    <t>1953_aug_0_5152</t>
  </si>
  <si>
    <t>1953_aug_0_2461</t>
  </si>
  <si>
    <t>1953_aug_0_1347</t>
  </si>
  <si>
    <t>1953</t>
  </si>
  <si>
    <t>1948_aug_0_9813</t>
  </si>
  <si>
    <t>1948_aug_0_7844</t>
  </si>
  <si>
    <t>1948_aug_0_7068</t>
  </si>
  <si>
    <t>1948_aug_0_4410</t>
  </si>
  <si>
    <t>1948_aug_0_1005</t>
  </si>
  <si>
    <t>1948</t>
  </si>
  <si>
    <t>1944_aug_0_9536</t>
  </si>
  <si>
    <t>1944_aug_0_5680</t>
  </si>
  <si>
    <t>1944_aug_0_5179</t>
  </si>
  <si>
    <t>1944_aug_0_2387</t>
  </si>
  <si>
    <t>1944_aug_0_173</t>
  </si>
  <si>
    <t>1944</t>
  </si>
  <si>
    <t>1936_aug_0_7769</t>
  </si>
  <si>
    <t>1936_aug_0_6227</t>
  </si>
  <si>
    <t>1936_aug_0_5685</t>
  </si>
  <si>
    <t>1936_aug_0_5079</t>
  </si>
  <si>
    <t>1936_aug_0_2598</t>
  </si>
  <si>
    <t>1936</t>
  </si>
  <si>
    <t>1929_aug_0_7358</t>
  </si>
  <si>
    <t>1929_aug_0_662</t>
  </si>
  <si>
    <t>1929_aug_0_5190</t>
  </si>
  <si>
    <t>1929_aug_0_1571</t>
  </si>
  <si>
    <t>1929_aug_0_1046</t>
  </si>
  <si>
    <t>1929</t>
  </si>
  <si>
    <t>1909_aug_0_8951</t>
  </si>
  <si>
    <t>1909_aug_0_8291</t>
  </si>
  <si>
    <t>1909_aug_0_5021</t>
  </si>
  <si>
    <t>1909_aug_0_2266</t>
  </si>
  <si>
    <t>1909_aug_0_1843</t>
  </si>
  <si>
    <t>1909</t>
  </si>
  <si>
    <t>1898_aug_0_8474</t>
  </si>
  <si>
    <t>1898_aug_0_6030</t>
  </si>
  <si>
    <t>1898_aug_0_5409</t>
  </si>
  <si>
    <t>1898_aug_0_4616</t>
  </si>
  <si>
    <t>1898_aug_0_3189</t>
  </si>
  <si>
    <t>1898</t>
  </si>
  <si>
    <t>1881_aug_0_9668</t>
  </si>
  <si>
    <t>1881_aug_0_9380</t>
  </si>
  <si>
    <t>1881_aug_0_8411</t>
  </si>
  <si>
    <t>1881_aug_0_7844</t>
  </si>
  <si>
    <t>1881_aug_0_2345</t>
  </si>
  <si>
    <t>1881</t>
  </si>
  <si>
    <t>1874_aug_0_8742</t>
  </si>
  <si>
    <t>1874_aug_0_6941</t>
  </si>
  <si>
    <t>1874_aug_0_4731</t>
  </si>
  <si>
    <t>1874_aug_0_198</t>
  </si>
  <si>
    <t>1874_aug_0_1486</t>
  </si>
  <si>
    <t>1874</t>
  </si>
  <si>
    <t>1868_aug_0_8405</t>
  </si>
  <si>
    <t>1868_aug_0_8389</t>
  </si>
  <si>
    <t>1868_aug_0_6321</t>
  </si>
  <si>
    <t>1868_aug_0_4283</t>
  </si>
  <si>
    <t>1868_aug_0_3182</t>
  </si>
  <si>
    <t>1868</t>
  </si>
  <si>
    <t>1860_aug_0_8912</t>
  </si>
  <si>
    <t>1860_aug_0_5535</t>
  </si>
  <si>
    <t>1860_aug_0_5235</t>
  </si>
  <si>
    <t>1860_aug_0_5023</t>
  </si>
  <si>
    <t>1860_aug_0_202</t>
  </si>
  <si>
    <t>1860</t>
  </si>
  <si>
    <t>1837_aug_0_9189</t>
  </si>
  <si>
    <t>1837_aug_0_8818</t>
  </si>
  <si>
    <t>1837_aug_0_8504</t>
  </si>
  <si>
    <t>1837_aug_0_3342</t>
  </si>
  <si>
    <t>1837_aug_0_2465</t>
  </si>
  <si>
    <t>1837</t>
  </si>
  <si>
    <t>1816_aug_0_9714</t>
  </si>
  <si>
    <t>1816_aug_0_6980</t>
  </si>
  <si>
    <t>1816_aug_0_6864</t>
  </si>
  <si>
    <t>1816_aug_0_4495</t>
  </si>
  <si>
    <t>1816_aug_0_4233</t>
  </si>
  <si>
    <t>1816</t>
  </si>
  <si>
    <t>1792_aug_0_7879</t>
  </si>
  <si>
    <t>1792_aug_0_7488</t>
  </si>
  <si>
    <t>1792_aug_0_5592</t>
  </si>
  <si>
    <t>1792_aug_0_3868</t>
  </si>
  <si>
    <t>1792_aug_0_2461</t>
  </si>
  <si>
    <t>1792</t>
  </si>
  <si>
    <t>1783_aug_0_9636</t>
  </si>
  <si>
    <t>1783_aug_0_7419</t>
  </si>
  <si>
    <t>1783_aug_0_7296</t>
  </si>
  <si>
    <t>1783_aug_0_5146</t>
  </si>
  <si>
    <t>1783_aug_0_2782</t>
  </si>
  <si>
    <t>1783</t>
  </si>
  <si>
    <t>1772_aug_0_6354</t>
  </si>
  <si>
    <t>1772_aug_0_3741</t>
  </si>
  <si>
    <t>1772_aug_0_3233</t>
  </si>
  <si>
    <t>1772_aug_0_2953</t>
  </si>
  <si>
    <t>1772_aug_0_1246</t>
  </si>
  <si>
    <t>1772</t>
  </si>
  <si>
    <t>1758_aug_0_9763</t>
  </si>
  <si>
    <t>1758_aug_0_6472</t>
  </si>
  <si>
    <t>1758_aug_0_6408</t>
  </si>
  <si>
    <t>1758_aug_0_49</t>
  </si>
  <si>
    <t>1758_aug_0_3273</t>
  </si>
  <si>
    <t>1758</t>
  </si>
  <si>
    <t>1737_aug_0_6247</t>
  </si>
  <si>
    <t>1737_aug_0_4683</t>
  </si>
  <si>
    <t>1737_aug_0_4649</t>
  </si>
  <si>
    <t>1737_aug_0_2104</t>
  </si>
  <si>
    <t>1737_aug_0_1423</t>
  </si>
  <si>
    <t>1737</t>
  </si>
  <si>
    <t>1725_aug_0_9656</t>
  </si>
  <si>
    <t>1725_aug_0_4604</t>
  </si>
  <si>
    <t>1725_aug_0_3280</t>
  </si>
  <si>
    <t>1725_aug_0_1956</t>
  </si>
  <si>
    <t>1725_aug_0_1925</t>
  </si>
  <si>
    <t>1725</t>
  </si>
  <si>
    <t>1718_aug_0_9085</t>
  </si>
  <si>
    <t>1718_aug_0_7445</t>
  </si>
  <si>
    <t>1718_aug_0_6417</t>
  </si>
  <si>
    <t>1718_aug_0_6328</t>
  </si>
  <si>
    <t>1718_aug_0_3424</t>
  </si>
  <si>
    <t>1718</t>
  </si>
  <si>
    <t>1716_aug_0_875</t>
  </si>
  <si>
    <t>1716_aug_0_7722</t>
  </si>
  <si>
    <t>1716_aug_0_5618</t>
  </si>
  <si>
    <t>1716_aug_0_3476</t>
  </si>
  <si>
    <t>1716_aug_0_279</t>
  </si>
  <si>
    <t>1716</t>
  </si>
  <si>
    <t>1705_aug_0_9539</t>
  </si>
  <si>
    <t>1705_aug_0_7885</t>
  </si>
  <si>
    <t>1705_aug_0_7368</t>
  </si>
  <si>
    <t>1705_aug_0_1534</t>
  </si>
  <si>
    <t>1705_aug_0_1056</t>
  </si>
  <si>
    <t>1705</t>
  </si>
  <si>
    <t>1676_aug_0_8915</t>
  </si>
  <si>
    <t>1676_aug_0_6580</t>
  </si>
  <si>
    <t>1676_aug_0_4126</t>
  </si>
  <si>
    <t>1676_aug_0_3133</t>
  </si>
  <si>
    <t>1676_aug_0_1095</t>
  </si>
  <si>
    <t>1676</t>
  </si>
  <si>
    <t>1667_aug_0_7700</t>
  </si>
  <si>
    <t>1667_aug_0_7175</t>
  </si>
  <si>
    <t>1667_aug_0_6551</t>
  </si>
  <si>
    <t>1667_aug_0_383</t>
  </si>
  <si>
    <t>1667_aug_0_1345</t>
  </si>
  <si>
    <t>1667</t>
  </si>
  <si>
    <t>1652_aug_0_9492</t>
  </si>
  <si>
    <t>1652_aug_0_6174</t>
  </si>
  <si>
    <t>1652_aug_0_3937</t>
  </si>
  <si>
    <t>1652_aug_0_2360</t>
  </si>
  <si>
    <t>1652_aug_0_1470</t>
  </si>
  <si>
    <t>1652</t>
  </si>
  <si>
    <t>1649_aug_0_6188</t>
  </si>
  <si>
    <t>1649_aug_0_5689</t>
  </si>
  <si>
    <t>1649_aug_0_5486</t>
  </si>
  <si>
    <t>1649_aug_0_2333</t>
  </si>
  <si>
    <t>1649_aug_0_1256</t>
  </si>
  <si>
    <t>1649</t>
  </si>
  <si>
    <t>1626_aug_0_9007</t>
  </si>
  <si>
    <t>1626_aug_0_7025</t>
  </si>
  <si>
    <t>1626_aug_0_635</t>
  </si>
  <si>
    <t>1626_aug_0_6095</t>
  </si>
  <si>
    <t>1626_aug_0_4862</t>
  </si>
  <si>
    <t>1626</t>
  </si>
  <si>
    <t>1619_aug_0_8033</t>
  </si>
  <si>
    <t>1619_aug_0_7214</t>
  </si>
  <si>
    <t>1619_aug_0_4420</t>
  </si>
  <si>
    <t>1619_aug_0_330</t>
  </si>
  <si>
    <t>1619_aug_0_1229</t>
  </si>
  <si>
    <t>1619</t>
  </si>
  <si>
    <t>1600_aug_0_9651</t>
  </si>
  <si>
    <t>1600_aug_0_5813</t>
  </si>
  <si>
    <t>1600_aug_0_4802</t>
  </si>
  <si>
    <t>1600_aug_0_471</t>
  </si>
  <si>
    <t>1600_aug_0_2866</t>
  </si>
  <si>
    <t>1600</t>
  </si>
  <si>
    <t>1593_aug_0_8685</t>
  </si>
  <si>
    <t>1593_aug_0_6208</t>
  </si>
  <si>
    <t>1593_aug_0_5899</t>
  </si>
  <si>
    <t>1593_aug_0_5293</t>
  </si>
  <si>
    <t>1593_aug_0_3511</t>
  </si>
  <si>
    <t>1593</t>
  </si>
  <si>
    <t>1585_aug_0_9168</t>
  </si>
  <si>
    <t>1585_aug_0_8984</t>
  </si>
  <si>
    <t>1585_aug_0_862</t>
  </si>
  <si>
    <t>1585_aug_0_7474</t>
  </si>
  <si>
    <t>1585_aug_0_5100</t>
  </si>
  <si>
    <t>1585</t>
  </si>
  <si>
    <t>1576_aug_0_9756</t>
  </si>
  <si>
    <t>1576_aug_0_9211</t>
  </si>
  <si>
    <t>1576_aug_0_7082</t>
  </si>
  <si>
    <t>1576_aug_0_6224</t>
  </si>
  <si>
    <t>1576_aug_0_1438</t>
  </si>
  <si>
    <t>1576</t>
  </si>
  <si>
    <t>1558_aug_0_7225</t>
  </si>
  <si>
    <t>1558_aug_0_6116</t>
  </si>
  <si>
    <t>1558_aug_0_4795</t>
  </si>
  <si>
    <t>1558_aug_0_4192</t>
  </si>
  <si>
    <t>1558_aug_0_1574</t>
  </si>
  <si>
    <t>1558</t>
  </si>
  <si>
    <t>1546_aug_0_6312</t>
  </si>
  <si>
    <t>1546_aug_0_6083</t>
  </si>
  <si>
    <t>1546_aug_0_4458</t>
  </si>
  <si>
    <t>1546_aug_0_4320</t>
  </si>
  <si>
    <t>1546_aug_0_3560</t>
  </si>
  <si>
    <t>1546</t>
  </si>
  <si>
    <t>1542_aug_0_983</t>
  </si>
  <si>
    <t>1542_aug_0_8091</t>
  </si>
  <si>
    <t>1542_aug_0_7244</t>
  </si>
  <si>
    <t>1542_aug_0_3114</t>
  </si>
  <si>
    <t>1542_aug_0_2959</t>
  </si>
  <si>
    <t>1542</t>
  </si>
  <si>
    <t>1537_aug_0_977</t>
  </si>
  <si>
    <t>1537_aug_0_8184</t>
  </si>
  <si>
    <t>1537_aug_0_6895</t>
  </si>
  <si>
    <t>1537_aug_0_6063</t>
  </si>
  <si>
    <t>1537_aug_0_3216</t>
  </si>
  <si>
    <t>1537</t>
  </si>
  <si>
    <t>1532_aug_0_9570</t>
  </si>
  <si>
    <t>1532_aug_0_7132</t>
  </si>
  <si>
    <t>1532_aug_0_7127</t>
  </si>
  <si>
    <t>1532_aug_0_2</t>
  </si>
  <si>
    <t>1532_aug_0_1246</t>
  </si>
  <si>
    <t>1532</t>
  </si>
  <si>
    <t>1516_aug_0_7236</t>
  </si>
  <si>
    <t>1516_aug_0_3912</t>
  </si>
  <si>
    <t>1516_aug_0_2952</t>
  </si>
  <si>
    <t>1516_aug_0_1473</t>
  </si>
  <si>
    <t>1516_aug_0_1168</t>
  </si>
  <si>
    <t>1516</t>
  </si>
  <si>
    <t>1496_aug_0_8973</t>
  </si>
  <si>
    <t>1496_aug_0_8813</t>
  </si>
  <si>
    <t>1496_aug_0_8492</t>
  </si>
  <si>
    <t>1496_aug_0_7790</t>
  </si>
  <si>
    <t>1496_aug_0_418</t>
  </si>
  <si>
    <t>1496</t>
  </si>
  <si>
    <t>1478_aug_0_8607</t>
  </si>
  <si>
    <t>1478_aug_0_3255</t>
  </si>
  <si>
    <t>1478_aug_0_3109</t>
  </si>
  <si>
    <t>1478_aug_0_1318</t>
  </si>
  <si>
    <t>1478_aug_0_1045</t>
  </si>
  <si>
    <t>1478</t>
  </si>
  <si>
    <t>1476_aug_0_5794</t>
  </si>
  <si>
    <t>1476_aug_0_5674</t>
  </si>
  <si>
    <t>1476_aug_0_5504</t>
  </si>
  <si>
    <t>1476_aug_0_4014</t>
  </si>
  <si>
    <t>1476_aug_0_2159</t>
  </si>
  <si>
    <t>1476</t>
  </si>
  <si>
    <t>1458_aug_0_9218</t>
  </si>
  <si>
    <t>1458_aug_0_5097</t>
  </si>
  <si>
    <t>1458_aug_0_4155</t>
  </si>
  <si>
    <t>1458_aug_0_3185</t>
  </si>
  <si>
    <t>1458_aug_0_2682</t>
  </si>
  <si>
    <t>1458</t>
  </si>
  <si>
    <t>1446_aug_0_4973</t>
  </si>
  <si>
    <t>1446_aug_0_4197</t>
  </si>
  <si>
    <t>1446_aug_0_3644</t>
  </si>
  <si>
    <t>1446_aug_0_2494</t>
  </si>
  <si>
    <t>1446_aug_0_1777</t>
  </si>
  <si>
    <t>1446</t>
  </si>
  <si>
    <t>1431_aug_0_6937</t>
  </si>
  <si>
    <t>1431_aug_0_6527</t>
  </si>
  <si>
    <t>1431_aug_0_5732</t>
  </si>
  <si>
    <t>1431_aug_0_2937</t>
  </si>
  <si>
    <t>1431_aug_0_2909</t>
  </si>
  <si>
    <t>1431</t>
  </si>
  <si>
    <t>1422_aug_0_9336</t>
  </si>
  <si>
    <t>1422_aug_0_9008</t>
  </si>
  <si>
    <t>1422_aug_0_6348</t>
  </si>
  <si>
    <t>1422_aug_0_1976</t>
  </si>
  <si>
    <t>1422_aug_0_1397</t>
  </si>
  <si>
    <t>1422</t>
  </si>
  <si>
    <t>1412_aug_0_9237</t>
  </si>
  <si>
    <t>1412_aug_0_7373</t>
  </si>
  <si>
    <t>1412_aug_0_4921</t>
  </si>
  <si>
    <t>1412_aug_0_3327</t>
  </si>
  <si>
    <t>1412_aug_0_1842</t>
  </si>
  <si>
    <t>1412</t>
  </si>
  <si>
    <t>1385_aug_0_940</t>
  </si>
  <si>
    <t>1385_aug_0_5698</t>
  </si>
  <si>
    <t>1385_aug_0_5471</t>
  </si>
  <si>
    <t>1385_aug_0_4882</t>
  </si>
  <si>
    <t>1385_aug_0_413</t>
  </si>
  <si>
    <t>1385</t>
  </si>
  <si>
    <t>1366_aug_0_9880</t>
  </si>
  <si>
    <t>1366_aug_0_8636</t>
  </si>
  <si>
    <t>1366_aug_0_7435</t>
  </si>
  <si>
    <t>1366_aug_0_4237</t>
  </si>
  <si>
    <t>1366_aug_0_2354</t>
  </si>
  <si>
    <t>1366</t>
  </si>
  <si>
    <t>1354_aug_0_9561</t>
  </si>
  <si>
    <t>1354_aug_0_4974</t>
  </si>
  <si>
    <t>1354_aug_0_3573</t>
  </si>
  <si>
    <t>1354_aug_0_1824</t>
  </si>
  <si>
    <t>1354_aug_0_1052</t>
  </si>
  <si>
    <t>1354</t>
  </si>
  <si>
    <t>1347_aug_0_8512</t>
  </si>
  <si>
    <t>1347_aug_0_7240</t>
  </si>
  <si>
    <t>1347_aug_0_5875</t>
  </si>
  <si>
    <t>1347_aug_0_1958</t>
  </si>
  <si>
    <t>1347_aug_0_1367</t>
  </si>
  <si>
    <t>1347</t>
  </si>
  <si>
    <t>1325_aug_0_6587</t>
  </si>
  <si>
    <t>1325_aug_0_5308</t>
  </si>
  <si>
    <t>1325_aug_0_409</t>
  </si>
  <si>
    <t>1325_aug_0_3665</t>
  </si>
  <si>
    <t>1325_aug_0_346</t>
  </si>
  <si>
    <t>1325</t>
  </si>
  <si>
    <t>1304_aug_0_9747</t>
  </si>
  <si>
    <t>1304_aug_0_7417</t>
  </si>
  <si>
    <t>1304_aug_0_5236</t>
  </si>
  <si>
    <t>1304_aug_0_5150</t>
  </si>
  <si>
    <t>1304_aug_0_1261</t>
  </si>
  <si>
    <t>1304</t>
  </si>
  <si>
    <t>1296_aug_0_9344</t>
  </si>
  <si>
    <t>1296_aug_0_7360</t>
  </si>
  <si>
    <t>1296_aug_0_3539</t>
  </si>
  <si>
    <t>1296_aug_0_2266</t>
  </si>
  <si>
    <t>1296_aug_0_1449</t>
  </si>
  <si>
    <t>1296</t>
  </si>
  <si>
    <t>1286_aug_0_6400</t>
  </si>
  <si>
    <t>1286_aug_0_4804</t>
  </si>
  <si>
    <t>1286_aug_0_3557</t>
  </si>
  <si>
    <t>1286_aug_0_2334</t>
  </si>
  <si>
    <t>1286_aug_0_1498</t>
  </si>
  <si>
    <t>1286</t>
  </si>
  <si>
    <t>1281_aug_0_9858</t>
  </si>
  <si>
    <t>1281_aug_0_8607</t>
  </si>
  <si>
    <t>1281_aug_0_5204</t>
  </si>
  <si>
    <t>1281_aug_0_485</t>
  </si>
  <si>
    <t>1281_aug_0_3619</t>
  </si>
  <si>
    <t>1281</t>
  </si>
  <si>
    <t>1273_aug_0_7986</t>
  </si>
  <si>
    <t>1273_aug_0_6813</t>
  </si>
  <si>
    <t>1273_aug_0_6393</t>
  </si>
  <si>
    <t>1273_aug_0_4062</t>
  </si>
  <si>
    <t>1273_aug_0_364</t>
  </si>
  <si>
    <t>1273</t>
  </si>
  <si>
    <t>1261_aug_0_620</t>
  </si>
  <si>
    <t>1261_aug_0_6112</t>
  </si>
  <si>
    <t>1261_aug_0_248</t>
  </si>
  <si>
    <t>1261_aug_0_2267</t>
  </si>
  <si>
    <t>1261_aug_0_1283</t>
  </si>
  <si>
    <t>1261</t>
  </si>
  <si>
    <t>1249_aug_0_9731</t>
  </si>
  <si>
    <t>1249_aug_0_8566</t>
  </si>
  <si>
    <t>1249_aug_0_7650</t>
  </si>
  <si>
    <t>1249_aug_0_7445</t>
  </si>
  <si>
    <t>1249_aug_0_2560</t>
  </si>
  <si>
    <t>1249</t>
  </si>
  <si>
    <t>1235_aug_0_9211</t>
  </si>
  <si>
    <t>1235_aug_0_6863</t>
  </si>
  <si>
    <t>1235_aug_0_6470</t>
  </si>
  <si>
    <t>1235_aug_0_5292</t>
  </si>
  <si>
    <t>1235_aug_0_4858</t>
  </si>
  <si>
    <t>1235</t>
  </si>
  <si>
    <t>1226_aug_0_8013</t>
  </si>
  <si>
    <t>1226_aug_0_7498</t>
  </si>
  <si>
    <t>1226_aug_0_4209</t>
  </si>
  <si>
    <t>1226_aug_0_2560</t>
  </si>
  <si>
    <t>1226_aug_0_1983</t>
  </si>
  <si>
    <t>1226</t>
  </si>
  <si>
    <t>1213_aug_0_9171</t>
  </si>
  <si>
    <t>1213_aug_0_9090</t>
  </si>
  <si>
    <t>1213_aug_0_3634</t>
  </si>
  <si>
    <t>1213_aug_0_2778</t>
  </si>
  <si>
    <t>1213_aug_0_2108</t>
  </si>
  <si>
    <t>1213</t>
  </si>
  <si>
    <t>1207_aug_0_8417</t>
  </si>
  <si>
    <t>1207_aug_0_3057</t>
  </si>
  <si>
    <t>1207_aug_0_275</t>
  </si>
  <si>
    <t>1207_aug_0_2541</t>
  </si>
  <si>
    <t>1207_aug_0_2294</t>
  </si>
  <si>
    <t>1207</t>
  </si>
  <si>
    <t>1196_aug_0_9337</t>
  </si>
  <si>
    <t>1196_aug_0_8225</t>
  </si>
  <si>
    <t>1196_aug_0_6011</t>
  </si>
  <si>
    <t>1196_aug_0_5996</t>
  </si>
  <si>
    <t>1196_aug_0_3185</t>
  </si>
  <si>
    <t>1196</t>
  </si>
  <si>
    <t>1185_aug_0_89</t>
  </si>
  <si>
    <t>1185_aug_0_5901</t>
  </si>
  <si>
    <t>1185_aug_0_5160</t>
  </si>
  <si>
    <t>1185_aug_0_4345</t>
  </si>
  <si>
    <t>1185_aug_0_3974</t>
  </si>
  <si>
    <t>1185</t>
  </si>
  <si>
    <t>1170_aug_0_890</t>
  </si>
  <si>
    <t>1170_aug_0_8754</t>
  </si>
  <si>
    <t>1170_aug_0_8742</t>
  </si>
  <si>
    <t>1170_aug_0_3791</t>
  </si>
  <si>
    <t>1170_aug_0_1614</t>
  </si>
  <si>
    <t>1170</t>
  </si>
  <si>
    <t>1156_aug_0_9879</t>
  </si>
  <si>
    <t>1156_aug_0_835</t>
  </si>
  <si>
    <t>1156_aug_0_281</t>
  </si>
  <si>
    <t>1156_aug_0_2381</t>
  </si>
  <si>
    <t>1156_aug_0_1103</t>
  </si>
  <si>
    <t>1156</t>
  </si>
  <si>
    <t>1147_aug_0_8456</t>
  </si>
  <si>
    <t>1147_aug_0_620</t>
  </si>
  <si>
    <t>1147_aug_0_5427</t>
  </si>
  <si>
    <t>1147_aug_0_4851</t>
  </si>
  <si>
    <t>1147_aug_0_3998</t>
  </si>
  <si>
    <t>1147</t>
  </si>
  <si>
    <t>1137_aug_0_988</t>
  </si>
  <si>
    <t>1137_aug_0_9841</t>
  </si>
  <si>
    <t>1137_aug_0_6753</t>
  </si>
  <si>
    <t>1137_aug_0_3098</t>
  </si>
  <si>
    <t>1137_aug_0_2471</t>
  </si>
  <si>
    <t>1137</t>
  </si>
  <si>
    <t>1127_aug_0_683</t>
  </si>
  <si>
    <t>1127_aug_0_6528</t>
  </si>
  <si>
    <t>1127_aug_0_2760</t>
  </si>
  <si>
    <t>1127_aug_0_197</t>
  </si>
  <si>
    <t>1127_aug_0_1132</t>
  </si>
  <si>
    <t>1127</t>
  </si>
  <si>
    <t>1118_aug_0_8866</t>
  </si>
  <si>
    <t>1118_aug_0_7842</t>
  </si>
  <si>
    <t>1118_aug_0_6649</t>
  </si>
  <si>
    <t>1118_aug_0_6452</t>
  </si>
  <si>
    <t>1118_aug_0_5146</t>
  </si>
  <si>
    <t>1118</t>
  </si>
  <si>
    <t>1102_aug_0_8378</t>
  </si>
  <si>
    <t>1102_aug_0_7260</t>
  </si>
  <si>
    <t>1102_aug_0_5697</t>
  </si>
  <si>
    <t>1102_aug_0_565</t>
  </si>
  <si>
    <t>1102_aug_0_294</t>
  </si>
  <si>
    <t>1102</t>
  </si>
  <si>
    <t>1094_aug_0_9823</t>
  </si>
  <si>
    <t>1094_aug_0_6429</t>
  </si>
  <si>
    <t>1094_aug_0_4892</t>
  </si>
  <si>
    <t>1094_aug_0_4749</t>
  </si>
  <si>
    <t>1094_aug_0_1319</t>
  </si>
  <si>
    <t>1094</t>
  </si>
  <si>
    <t>1090_aug_0_9378</t>
  </si>
  <si>
    <t>1090_aug_0_754</t>
  </si>
  <si>
    <t>1090_aug_0_2828</t>
  </si>
  <si>
    <t>1090_aug_0_2212</t>
  </si>
  <si>
    <t>1090_aug_0_1415</t>
  </si>
  <si>
    <t>1090</t>
  </si>
  <si>
    <t>TP</t>
  </si>
  <si>
    <t>FP</t>
  </si>
  <si>
    <t>FN</t>
  </si>
  <si>
    <t>TN</t>
  </si>
  <si>
    <t>Accuracy</t>
  </si>
  <si>
    <t>Precision</t>
  </si>
  <si>
    <t>Recall</t>
  </si>
  <si>
    <t>F1-Score</t>
  </si>
  <si>
    <t>MAE</t>
  </si>
  <si>
    <t>MSE</t>
  </si>
  <si>
    <t>RMSE</t>
  </si>
  <si>
    <t>MAPE</t>
  </si>
  <si>
    <t>R²</t>
  </si>
  <si>
    <t>True Class</t>
  </si>
  <si>
    <t>Predicted Class</t>
  </si>
  <si>
    <t>Accuracy_±30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</si>
</sst>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vertical="top" wrapText="1"/>
    </xf>
    <xf numFmtId="0" fontId="3" fillId="0" borderId="0" xfId="0" applyFont="1" applyAlignment="1">
      <alignment horizontal="righ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79"/>
  <sheetViews>
    <sheetView tabSelected="1" topLeftCell="B1" workbookViewId="0">
      <selection activeCell="K6" sqref="K6"/>
    </sheetView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699</v>
      </c>
      <c r="J1" s="1" t="s">
        <v>700</v>
      </c>
      <c r="K1" s="2" t="s">
        <v>701</v>
      </c>
      <c r="L1" s="2" t="s">
        <v>686</v>
      </c>
      <c r="M1" s="1" t="s">
        <v>687</v>
      </c>
      <c r="N1" s="1" t="s">
        <v>688</v>
      </c>
      <c r="O1" s="1" t="s">
        <v>689</v>
      </c>
      <c r="P1" s="2" t="s">
        <v>690</v>
      </c>
      <c r="Q1" s="2" t="s">
        <v>691</v>
      </c>
      <c r="R1" s="2" t="s">
        <v>692</v>
      </c>
      <c r="S1" s="2" t="s">
        <v>693</v>
      </c>
      <c r="T1" s="2" t="s">
        <v>694</v>
      </c>
      <c r="U1" s="3" t="s">
        <v>695</v>
      </c>
      <c r="V1" s="3" t="s">
        <v>696</v>
      </c>
      <c r="W1" s="3" t="s">
        <v>697</v>
      </c>
      <c r="X1" s="3" t="s">
        <v>698</v>
      </c>
    </row>
    <row r="2" spans="1:24" x14ac:dyDescent="0.3">
      <c r="A2" t="s">
        <v>8</v>
      </c>
      <c r="B2">
        <v>10</v>
      </c>
      <c r="C2">
        <v>10</v>
      </c>
      <c r="D2">
        <v>20</v>
      </c>
      <c r="E2" t="s">
        <v>8</v>
      </c>
      <c r="F2">
        <v>23.503494262695309</v>
      </c>
      <c r="G2">
        <v>31.588283538818359</v>
      </c>
      <c r="H2">
        <v>55.091773986816413</v>
      </c>
      <c r="I2" s="5" t="str">
        <f xml:space="preserve"> IF(D2 &lt;= 39, "Low",
               IF(D2 &lt;= 69, "Medium", "High"))</f>
        <v>Low</v>
      </c>
      <c r="J2" s="5" t="str">
        <f xml:space="preserve"> IF(H2 &lt;= 39, "Low",
               IF(H2 &lt;= 69, "Medium", "High"))</f>
        <v>Medium</v>
      </c>
      <c r="K2" s="6">
        <f xml:space="preserve"> IF(ABS(D2 - H2) &lt;= 30, 1, 0)</f>
        <v>0</v>
      </c>
      <c r="L2" s="4">
        <f>COUNTIFS(I2:I679, "High", J2:J679, "High")</f>
        <v>441</v>
      </c>
      <c r="M2">
        <f>COUNTIFS(I2:I679, "&lt;&gt;High", J2:J679, "High")</f>
        <v>147</v>
      </c>
      <c r="N2">
        <f>COUNTIFS(I2:I679, "High", J2:J679, "&lt;&gt;High")</f>
        <v>30</v>
      </c>
      <c r="O2">
        <f>COUNTIFS(I2:I679, "&lt;&gt;High", J2:J679, "&lt;&gt;High")</f>
        <v>60</v>
      </c>
      <c r="P2">
        <f xml:space="preserve"> (L2 + O2) / (L2 + O2 + M2 + N2)</f>
        <v>0.73893805309734517</v>
      </c>
      <c r="Q2">
        <f xml:space="preserve"> L2 / (L2 + M2)</f>
        <v>0.75</v>
      </c>
      <c r="R2">
        <f xml:space="preserve"> L2 / (L2 + N2)</f>
        <v>0.93630573248407645</v>
      </c>
      <c r="S2">
        <f xml:space="preserve"> 2 * (Q2 * R2) / (Q2 + R2)</f>
        <v>0.83286118980169976</v>
      </c>
      <c r="T2" cm="1">
        <f t="array" ref="T2">SUMPRODUCT(ABS(D2:D679 - H2:H679)) / COUNT(D2:D679)</f>
        <v>37.023584720131922</v>
      </c>
      <c r="U2">
        <f>SUMXMY2(D2:D679,H2:H679) / COUNT(D2:D679)</f>
        <v>1989.2308871094704</v>
      </c>
      <c r="V2">
        <f>SQRT(U2)</f>
        <v>44.600794691456677</v>
      </c>
      <c r="W2" cm="1">
        <f t="array" ref="W2">AVERAGE(ABS((D2:D679 - H2:H679) / D2:D679))</f>
        <v>0.66281692921819735</v>
      </c>
      <c r="X2">
        <f>RSQ(H2:H679, D2:D679)</f>
        <v>0.30972538244631964</v>
      </c>
    </row>
    <row r="3" spans="1:24" x14ac:dyDescent="0.3">
      <c r="A3" t="s">
        <v>9</v>
      </c>
      <c r="B3">
        <v>10</v>
      </c>
      <c r="C3">
        <v>10</v>
      </c>
      <c r="D3">
        <v>20</v>
      </c>
      <c r="E3" t="s">
        <v>9</v>
      </c>
      <c r="F3">
        <v>19.055072784423832</v>
      </c>
      <c r="G3">
        <v>31.10725021362305</v>
      </c>
      <c r="H3">
        <v>50.162322998046882</v>
      </c>
      <c r="I3" s="5" t="str">
        <f t="shared" ref="I3:I4" si="0" xml:space="preserve"> IF(D3 &lt;= 39, "Low",
               IF(D3 &lt;= 69, "Medium", "High"))</f>
        <v>Low</v>
      </c>
      <c r="J3" s="5" t="str">
        <f t="shared" ref="J3:J4" si="1" xml:space="preserve"> IF(H3 &lt;= 39, "Low",
               IF(H3 &lt;= 69, "Medium", "High"))</f>
        <v>Medium</v>
      </c>
      <c r="K3" s="6">
        <f t="shared" ref="K3:K4" si="2" xml:space="preserve"> IF(ABS(D3 - H3) &lt;= 30, 1, 0)</f>
        <v>0</v>
      </c>
    </row>
    <row r="4" spans="1:24" x14ac:dyDescent="0.3">
      <c r="A4" t="s">
        <v>10</v>
      </c>
      <c r="B4">
        <v>10</v>
      </c>
      <c r="C4">
        <v>10</v>
      </c>
      <c r="D4">
        <v>20</v>
      </c>
      <c r="E4" t="s">
        <v>10</v>
      </c>
      <c r="F4">
        <v>29.68233489990234</v>
      </c>
      <c r="G4">
        <v>33.526157379150391</v>
      </c>
      <c r="H4">
        <v>63.20849609375</v>
      </c>
      <c r="I4" s="5" t="str">
        <f t="shared" si="0"/>
        <v>Low</v>
      </c>
      <c r="J4" s="5" t="str">
        <f t="shared" si="1"/>
        <v>Medium</v>
      </c>
      <c r="K4" s="6">
        <f t="shared" si="2"/>
        <v>0</v>
      </c>
    </row>
    <row r="5" spans="1:24" x14ac:dyDescent="0.3">
      <c r="A5" t="s">
        <v>11</v>
      </c>
      <c r="B5">
        <v>10</v>
      </c>
      <c r="C5">
        <v>10</v>
      </c>
      <c r="D5">
        <v>20</v>
      </c>
      <c r="E5" t="s">
        <v>11</v>
      </c>
      <c r="F5">
        <v>20.26431846618652</v>
      </c>
      <c r="G5">
        <v>34.109622955322273</v>
      </c>
      <c r="H5">
        <v>54.373943328857422</v>
      </c>
      <c r="I5" s="5" t="str">
        <f t="shared" ref="I5:I68" si="3" xml:space="preserve"> IF(D5 &lt;= 39, "Low",
               IF(D5 &lt;= 69, "Medium", "High"))</f>
        <v>Low</v>
      </c>
      <c r="J5" s="5" t="str">
        <f t="shared" ref="J5:J68" si="4" xml:space="preserve"> IF(H5 &lt;= 39, "Low",
               IF(H5 &lt;= 69, "Medium", "High"))</f>
        <v>Medium</v>
      </c>
      <c r="K5" s="6">
        <f t="shared" ref="K5:K68" si="5" xml:space="preserve"> IF(ABS(D5 - H5) &lt;= 30, 1, 0)</f>
        <v>0</v>
      </c>
    </row>
    <row r="6" spans="1:24" x14ac:dyDescent="0.3">
      <c r="A6" t="s">
        <v>12</v>
      </c>
      <c r="B6">
        <v>10</v>
      </c>
      <c r="C6">
        <v>10</v>
      </c>
      <c r="D6">
        <v>20</v>
      </c>
      <c r="E6" t="s">
        <v>12</v>
      </c>
      <c r="F6">
        <v>25.610017776489261</v>
      </c>
      <c r="G6">
        <v>32.4217529296875</v>
      </c>
      <c r="H6">
        <v>58.031772613525391</v>
      </c>
      <c r="I6" s="5" t="str">
        <f t="shared" si="3"/>
        <v>Low</v>
      </c>
      <c r="J6" s="5" t="str">
        <f t="shared" si="4"/>
        <v>Medium</v>
      </c>
      <c r="K6" s="6">
        <f t="shared" si="5"/>
        <v>0</v>
      </c>
    </row>
    <row r="7" spans="1:24" x14ac:dyDescent="0.3">
      <c r="A7" t="s">
        <v>13</v>
      </c>
      <c r="B7">
        <v>10</v>
      </c>
      <c r="C7">
        <v>10</v>
      </c>
      <c r="D7">
        <v>20</v>
      </c>
      <c r="E7" t="s">
        <v>13</v>
      </c>
      <c r="F7">
        <v>22.321344375610352</v>
      </c>
      <c r="G7">
        <v>26.189765930175781</v>
      </c>
      <c r="H7">
        <v>48.511112213134773</v>
      </c>
      <c r="I7" s="5" t="str">
        <f t="shared" si="3"/>
        <v>Low</v>
      </c>
      <c r="J7" s="5" t="str">
        <f t="shared" si="4"/>
        <v>Medium</v>
      </c>
      <c r="K7" s="6">
        <f t="shared" si="5"/>
        <v>1</v>
      </c>
    </row>
    <row r="8" spans="1:24" x14ac:dyDescent="0.3">
      <c r="A8" t="s">
        <v>14</v>
      </c>
      <c r="B8">
        <v>10</v>
      </c>
      <c r="C8">
        <v>10</v>
      </c>
      <c r="D8">
        <v>20</v>
      </c>
      <c r="E8" t="s">
        <v>14</v>
      </c>
      <c r="F8">
        <v>28.443193435668949</v>
      </c>
      <c r="G8">
        <v>33.284980773925781</v>
      </c>
      <c r="H8">
        <v>61.728172302246087</v>
      </c>
      <c r="I8" s="5" t="str">
        <f t="shared" si="3"/>
        <v>Low</v>
      </c>
      <c r="J8" s="5" t="str">
        <f t="shared" si="4"/>
        <v>Medium</v>
      </c>
      <c r="K8" s="6">
        <f t="shared" si="5"/>
        <v>0</v>
      </c>
    </row>
    <row r="9" spans="1:24" x14ac:dyDescent="0.3">
      <c r="A9" t="s">
        <v>15</v>
      </c>
      <c r="B9">
        <v>10</v>
      </c>
      <c r="C9">
        <v>10</v>
      </c>
      <c r="D9">
        <v>20</v>
      </c>
      <c r="E9" t="s">
        <v>15</v>
      </c>
      <c r="F9">
        <v>14.68355083465576</v>
      </c>
      <c r="G9">
        <v>16.368484497070309</v>
      </c>
      <c r="H9">
        <v>31.052034378051761</v>
      </c>
      <c r="I9" s="5" t="str">
        <f t="shared" si="3"/>
        <v>Low</v>
      </c>
      <c r="J9" s="5" t="str">
        <f t="shared" si="4"/>
        <v>Low</v>
      </c>
      <c r="K9" s="6">
        <f t="shared" si="5"/>
        <v>1</v>
      </c>
    </row>
    <row r="10" spans="1:24" x14ac:dyDescent="0.3">
      <c r="A10" t="s">
        <v>16</v>
      </c>
      <c r="B10">
        <v>10</v>
      </c>
      <c r="C10">
        <v>10</v>
      </c>
      <c r="D10">
        <v>20</v>
      </c>
      <c r="E10" t="s">
        <v>16</v>
      </c>
      <c r="F10">
        <v>29.213434219360352</v>
      </c>
      <c r="G10">
        <v>37.70611572265625</v>
      </c>
      <c r="H10">
        <v>66.9195556640625</v>
      </c>
      <c r="I10" s="5" t="str">
        <f t="shared" si="3"/>
        <v>Low</v>
      </c>
      <c r="J10" s="5" t="str">
        <f t="shared" si="4"/>
        <v>Medium</v>
      </c>
      <c r="K10" s="6">
        <f t="shared" si="5"/>
        <v>0</v>
      </c>
    </row>
    <row r="11" spans="1:24" x14ac:dyDescent="0.3">
      <c r="A11" t="s">
        <v>17</v>
      </c>
      <c r="B11">
        <v>10</v>
      </c>
      <c r="C11">
        <v>10</v>
      </c>
      <c r="D11">
        <v>20</v>
      </c>
      <c r="E11" t="s">
        <v>17</v>
      </c>
      <c r="F11">
        <v>28.2352409362793</v>
      </c>
      <c r="G11">
        <v>36.842884063720703</v>
      </c>
      <c r="H11">
        <v>65.078125</v>
      </c>
      <c r="I11" s="5" t="str">
        <f t="shared" si="3"/>
        <v>Low</v>
      </c>
      <c r="J11" s="5" t="str">
        <f t="shared" si="4"/>
        <v>Medium</v>
      </c>
      <c r="K11" s="6">
        <f t="shared" si="5"/>
        <v>0</v>
      </c>
    </row>
    <row r="12" spans="1:24" x14ac:dyDescent="0.3">
      <c r="A12" t="s">
        <v>18</v>
      </c>
      <c r="B12">
        <v>10</v>
      </c>
      <c r="C12">
        <v>10</v>
      </c>
      <c r="D12">
        <v>20</v>
      </c>
      <c r="E12" t="s">
        <v>18</v>
      </c>
      <c r="F12">
        <v>13.85571384429932</v>
      </c>
      <c r="G12">
        <v>12.26204681396484</v>
      </c>
      <c r="H12">
        <v>26.11775970458984</v>
      </c>
      <c r="I12" s="5" t="str">
        <f t="shared" si="3"/>
        <v>Low</v>
      </c>
      <c r="J12" s="5" t="str">
        <f t="shared" si="4"/>
        <v>Low</v>
      </c>
      <c r="K12" s="6">
        <f t="shared" si="5"/>
        <v>1</v>
      </c>
    </row>
    <row r="13" spans="1:24" x14ac:dyDescent="0.3">
      <c r="A13" t="s">
        <v>19</v>
      </c>
      <c r="B13">
        <v>10</v>
      </c>
      <c r="C13">
        <v>10</v>
      </c>
      <c r="D13">
        <v>20</v>
      </c>
      <c r="E13" t="s">
        <v>19</v>
      </c>
      <c r="F13">
        <v>18.31223297119141</v>
      </c>
      <c r="G13">
        <v>20.371414184570309</v>
      </c>
      <c r="H13">
        <v>38.683647155761719</v>
      </c>
      <c r="I13" s="5" t="str">
        <f t="shared" si="3"/>
        <v>Low</v>
      </c>
      <c r="J13" s="5" t="str">
        <f t="shared" si="4"/>
        <v>Low</v>
      </c>
      <c r="K13" s="6">
        <f t="shared" si="5"/>
        <v>1</v>
      </c>
    </row>
    <row r="14" spans="1:24" x14ac:dyDescent="0.3">
      <c r="A14" t="s">
        <v>20</v>
      </c>
      <c r="B14">
        <v>10</v>
      </c>
      <c r="C14">
        <v>10</v>
      </c>
      <c r="D14">
        <v>20</v>
      </c>
      <c r="E14" t="s">
        <v>20</v>
      </c>
      <c r="F14">
        <v>29.206111907958981</v>
      </c>
      <c r="G14">
        <v>37.985427856445313</v>
      </c>
      <c r="H14">
        <v>67.191543579101563</v>
      </c>
      <c r="I14" s="5" t="str">
        <f t="shared" si="3"/>
        <v>Low</v>
      </c>
      <c r="J14" s="5" t="str">
        <f t="shared" si="4"/>
        <v>Medium</v>
      </c>
      <c r="K14" s="6">
        <f t="shared" si="5"/>
        <v>0</v>
      </c>
    </row>
    <row r="15" spans="1:24" x14ac:dyDescent="0.3">
      <c r="A15" t="s">
        <v>21</v>
      </c>
      <c r="B15">
        <v>10</v>
      </c>
      <c r="C15">
        <v>10</v>
      </c>
      <c r="D15">
        <v>20</v>
      </c>
      <c r="E15" t="s">
        <v>21</v>
      </c>
      <c r="F15">
        <v>34.857353210449219</v>
      </c>
      <c r="G15">
        <v>43.451084136962891</v>
      </c>
      <c r="H15">
        <v>78.308441162109375</v>
      </c>
      <c r="I15" s="5" t="str">
        <f t="shared" si="3"/>
        <v>Low</v>
      </c>
      <c r="J15" s="5" t="str">
        <f t="shared" si="4"/>
        <v>High</v>
      </c>
      <c r="K15" s="6">
        <f t="shared" si="5"/>
        <v>0</v>
      </c>
    </row>
    <row r="16" spans="1:24" x14ac:dyDescent="0.3">
      <c r="A16" t="s">
        <v>22</v>
      </c>
      <c r="B16">
        <v>10</v>
      </c>
      <c r="C16">
        <v>10</v>
      </c>
      <c r="D16">
        <v>20</v>
      </c>
      <c r="E16" t="s">
        <v>22</v>
      </c>
      <c r="F16">
        <v>35.404750823974609</v>
      </c>
      <c r="G16">
        <v>45.923271179199219</v>
      </c>
      <c r="H16">
        <v>81.328025817871094</v>
      </c>
      <c r="I16" s="5" t="str">
        <f t="shared" si="3"/>
        <v>Low</v>
      </c>
      <c r="J16" s="5" t="str">
        <f t="shared" si="4"/>
        <v>High</v>
      </c>
      <c r="K16" s="6">
        <f t="shared" si="5"/>
        <v>0</v>
      </c>
    </row>
    <row r="17" spans="1:11" x14ac:dyDescent="0.3">
      <c r="A17" t="s">
        <v>23</v>
      </c>
      <c r="B17">
        <v>10</v>
      </c>
      <c r="C17">
        <v>20</v>
      </c>
      <c r="D17">
        <v>30.000001907348629</v>
      </c>
      <c r="E17" t="s">
        <v>23</v>
      </c>
      <c r="F17">
        <v>23.342258453369141</v>
      </c>
      <c r="G17">
        <v>28.235599517822269</v>
      </c>
      <c r="H17">
        <v>51.577854156494141</v>
      </c>
      <c r="I17" s="5" t="str">
        <f t="shared" si="3"/>
        <v>Low</v>
      </c>
      <c r="J17" s="5" t="str">
        <f t="shared" si="4"/>
        <v>Medium</v>
      </c>
      <c r="K17" s="6">
        <f t="shared" si="5"/>
        <v>1</v>
      </c>
    </row>
    <row r="18" spans="1:11" x14ac:dyDescent="0.3">
      <c r="A18" t="s">
        <v>24</v>
      </c>
      <c r="B18">
        <v>10</v>
      </c>
      <c r="C18">
        <v>20</v>
      </c>
      <c r="D18">
        <v>30.000001907348629</v>
      </c>
      <c r="E18" t="s">
        <v>24</v>
      </c>
      <c r="F18">
        <v>31.155681610107418</v>
      </c>
      <c r="G18">
        <v>38.390403747558587</v>
      </c>
      <c r="H18">
        <v>69.546089172363281</v>
      </c>
      <c r="I18" s="5" t="str">
        <f t="shared" si="3"/>
        <v>Low</v>
      </c>
      <c r="J18" s="5" t="str">
        <f t="shared" si="4"/>
        <v>High</v>
      </c>
      <c r="K18" s="6">
        <f t="shared" si="5"/>
        <v>0</v>
      </c>
    </row>
    <row r="19" spans="1:11" x14ac:dyDescent="0.3">
      <c r="A19" t="s">
        <v>25</v>
      </c>
      <c r="B19">
        <v>10</v>
      </c>
      <c r="C19">
        <v>20</v>
      </c>
      <c r="D19">
        <v>30.000001907348629</v>
      </c>
      <c r="E19" t="s">
        <v>25</v>
      </c>
      <c r="F19">
        <v>31.957582473754879</v>
      </c>
      <c r="G19">
        <v>41.088226318359382</v>
      </c>
      <c r="H19">
        <v>73.045806884765625</v>
      </c>
      <c r="I19" s="5" t="str">
        <f t="shared" si="3"/>
        <v>Low</v>
      </c>
      <c r="J19" s="5" t="str">
        <f t="shared" si="4"/>
        <v>High</v>
      </c>
      <c r="K19" s="6">
        <f t="shared" si="5"/>
        <v>0</v>
      </c>
    </row>
    <row r="20" spans="1:11" x14ac:dyDescent="0.3">
      <c r="A20" t="s">
        <v>26</v>
      </c>
      <c r="B20">
        <v>10</v>
      </c>
      <c r="C20">
        <v>20</v>
      </c>
      <c r="D20">
        <v>30.000001907348629</v>
      </c>
      <c r="E20" t="s">
        <v>26</v>
      </c>
      <c r="F20">
        <v>33.547748565673828</v>
      </c>
      <c r="G20">
        <v>43.848163604736328</v>
      </c>
      <c r="H20">
        <v>77.395912170410156</v>
      </c>
      <c r="I20" s="5" t="str">
        <f t="shared" si="3"/>
        <v>Low</v>
      </c>
      <c r="J20" s="5" t="str">
        <f t="shared" si="4"/>
        <v>High</v>
      </c>
      <c r="K20" s="6">
        <f t="shared" si="5"/>
        <v>0</v>
      </c>
    </row>
    <row r="21" spans="1:11" x14ac:dyDescent="0.3">
      <c r="A21" t="s">
        <v>27</v>
      </c>
      <c r="B21">
        <v>10</v>
      </c>
      <c r="C21">
        <v>20</v>
      </c>
      <c r="D21">
        <v>30.000001907348629</v>
      </c>
      <c r="E21" t="s">
        <v>27</v>
      </c>
      <c r="F21">
        <v>13.354977607727051</v>
      </c>
      <c r="G21">
        <v>16.7202262878418</v>
      </c>
      <c r="H21">
        <v>30.075204849243161</v>
      </c>
      <c r="I21" s="5" t="str">
        <f t="shared" si="3"/>
        <v>Low</v>
      </c>
      <c r="J21" s="5" t="str">
        <f t="shared" si="4"/>
        <v>Low</v>
      </c>
      <c r="K21" s="6">
        <f t="shared" si="5"/>
        <v>1</v>
      </c>
    </row>
    <row r="22" spans="1:11" x14ac:dyDescent="0.3">
      <c r="A22" t="s">
        <v>28</v>
      </c>
      <c r="B22">
        <v>10</v>
      </c>
      <c r="C22">
        <v>20</v>
      </c>
      <c r="D22">
        <v>30.000001907348629</v>
      </c>
      <c r="E22" t="s">
        <v>28</v>
      </c>
      <c r="F22">
        <v>11.135488510131839</v>
      </c>
      <c r="G22">
        <v>15.36496543884277</v>
      </c>
      <c r="H22">
        <v>26.500453948974609</v>
      </c>
      <c r="I22" s="5" t="str">
        <f t="shared" si="3"/>
        <v>Low</v>
      </c>
      <c r="J22" s="5" t="str">
        <f t="shared" si="4"/>
        <v>Low</v>
      </c>
      <c r="K22" s="6">
        <f t="shared" si="5"/>
        <v>1</v>
      </c>
    </row>
    <row r="23" spans="1:11" x14ac:dyDescent="0.3">
      <c r="A23" t="s">
        <v>29</v>
      </c>
      <c r="B23">
        <v>10</v>
      </c>
      <c r="C23">
        <v>10</v>
      </c>
      <c r="D23">
        <v>20</v>
      </c>
      <c r="E23" t="s">
        <v>29</v>
      </c>
      <c r="F23">
        <v>32.6060791015625</v>
      </c>
      <c r="G23">
        <v>43.889720916748047</v>
      </c>
      <c r="H23">
        <v>76.495803833007813</v>
      </c>
      <c r="I23" s="5" t="str">
        <f t="shared" si="3"/>
        <v>Low</v>
      </c>
      <c r="J23" s="5" t="str">
        <f t="shared" si="4"/>
        <v>High</v>
      </c>
      <c r="K23" s="6">
        <f t="shared" si="5"/>
        <v>0</v>
      </c>
    </row>
    <row r="24" spans="1:11" x14ac:dyDescent="0.3">
      <c r="A24" t="s">
        <v>30</v>
      </c>
      <c r="B24">
        <v>10</v>
      </c>
      <c r="C24">
        <v>10</v>
      </c>
      <c r="D24">
        <v>20</v>
      </c>
      <c r="E24" t="s">
        <v>30</v>
      </c>
      <c r="F24">
        <v>28.436582565307621</v>
      </c>
      <c r="G24">
        <v>43.101303100585938</v>
      </c>
      <c r="H24">
        <v>71.537887573242188</v>
      </c>
      <c r="I24" s="5" t="str">
        <f t="shared" si="3"/>
        <v>Low</v>
      </c>
      <c r="J24" s="5" t="str">
        <f t="shared" si="4"/>
        <v>High</v>
      </c>
      <c r="K24" s="6">
        <f t="shared" si="5"/>
        <v>0</v>
      </c>
    </row>
    <row r="25" spans="1:11" x14ac:dyDescent="0.3">
      <c r="A25" t="s">
        <v>31</v>
      </c>
      <c r="B25">
        <v>10</v>
      </c>
      <c r="C25">
        <v>10</v>
      </c>
      <c r="D25">
        <v>20</v>
      </c>
      <c r="E25" t="s">
        <v>31</v>
      </c>
      <c r="F25">
        <v>20.28732872009277</v>
      </c>
      <c r="G25">
        <v>29.925579071044918</v>
      </c>
      <c r="H25">
        <v>50.212905883789063</v>
      </c>
      <c r="I25" s="5" t="str">
        <f t="shared" si="3"/>
        <v>Low</v>
      </c>
      <c r="J25" s="5" t="str">
        <f t="shared" si="4"/>
        <v>Medium</v>
      </c>
      <c r="K25" s="6">
        <f t="shared" si="5"/>
        <v>0</v>
      </c>
    </row>
    <row r="26" spans="1:11" x14ac:dyDescent="0.3">
      <c r="A26" t="s">
        <v>32</v>
      </c>
      <c r="B26">
        <v>10</v>
      </c>
      <c r="C26">
        <v>10</v>
      </c>
      <c r="D26">
        <v>20</v>
      </c>
      <c r="E26" t="s">
        <v>32</v>
      </c>
      <c r="F26">
        <v>28.80098724365234</v>
      </c>
      <c r="G26">
        <v>36.930717468261719</v>
      </c>
      <c r="H26">
        <v>65.731704711914063</v>
      </c>
      <c r="I26" s="5" t="str">
        <f t="shared" si="3"/>
        <v>Low</v>
      </c>
      <c r="J26" s="5" t="str">
        <f t="shared" si="4"/>
        <v>Medium</v>
      </c>
      <c r="K26" s="6">
        <f t="shared" si="5"/>
        <v>0</v>
      </c>
    </row>
    <row r="27" spans="1:11" x14ac:dyDescent="0.3">
      <c r="A27" t="s">
        <v>33</v>
      </c>
      <c r="B27">
        <v>10</v>
      </c>
      <c r="C27">
        <v>10</v>
      </c>
      <c r="D27">
        <v>20</v>
      </c>
      <c r="E27" t="s">
        <v>33</v>
      </c>
      <c r="F27">
        <v>15.77312660217285</v>
      </c>
      <c r="G27">
        <v>21.023983001708981</v>
      </c>
      <c r="H27">
        <v>36.797107696533203</v>
      </c>
      <c r="I27" s="5" t="str">
        <f t="shared" si="3"/>
        <v>Low</v>
      </c>
      <c r="J27" s="5" t="str">
        <f t="shared" si="4"/>
        <v>Low</v>
      </c>
      <c r="K27" s="6">
        <f t="shared" si="5"/>
        <v>1</v>
      </c>
    </row>
    <row r="28" spans="1:11" x14ac:dyDescent="0.3">
      <c r="A28" t="s">
        <v>34</v>
      </c>
      <c r="B28">
        <v>10</v>
      </c>
      <c r="C28">
        <v>10</v>
      </c>
      <c r="D28">
        <v>20</v>
      </c>
      <c r="E28" t="s">
        <v>34</v>
      </c>
      <c r="F28">
        <v>0.19978582859039309</v>
      </c>
      <c r="G28">
        <v>0.35628080368041992</v>
      </c>
      <c r="H28">
        <v>0.55606663227081299</v>
      </c>
      <c r="I28" s="5" t="str">
        <f t="shared" si="3"/>
        <v>Low</v>
      </c>
      <c r="J28" s="5" t="str">
        <f t="shared" si="4"/>
        <v>Low</v>
      </c>
      <c r="K28" s="6">
        <f t="shared" si="5"/>
        <v>1</v>
      </c>
    </row>
    <row r="29" spans="1:11" x14ac:dyDescent="0.3">
      <c r="A29" t="s">
        <v>35</v>
      </c>
      <c r="B29">
        <v>10</v>
      </c>
      <c r="C29">
        <v>10</v>
      </c>
      <c r="D29">
        <v>20</v>
      </c>
      <c r="E29" t="s">
        <v>35</v>
      </c>
      <c r="F29">
        <v>-5.1642417907714844</v>
      </c>
      <c r="G29">
        <v>-4.8942208290100098</v>
      </c>
      <c r="H29">
        <v>-10.058462142944339</v>
      </c>
      <c r="I29" s="5" t="str">
        <f t="shared" si="3"/>
        <v>Low</v>
      </c>
      <c r="J29" s="5" t="str">
        <f t="shared" si="4"/>
        <v>Low</v>
      </c>
      <c r="K29" s="6">
        <f t="shared" si="5"/>
        <v>0</v>
      </c>
    </row>
    <row r="30" spans="1:11" x14ac:dyDescent="0.3">
      <c r="A30" t="s">
        <v>36</v>
      </c>
      <c r="B30">
        <v>10</v>
      </c>
      <c r="C30">
        <v>10</v>
      </c>
      <c r="D30">
        <v>20</v>
      </c>
      <c r="E30" t="s">
        <v>36</v>
      </c>
      <c r="F30">
        <v>18.134420394897461</v>
      </c>
      <c r="G30">
        <v>23.076919555664059</v>
      </c>
      <c r="H30">
        <v>41.211338043212891</v>
      </c>
      <c r="I30" s="5" t="str">
        <f t="shared" si="3"/>
        <v>Low</v>
      </c>
      <c r="J30" s="5" t="str">
        <f t="shared" si="4"/>
        <v>Medium</v>
      </c>
      <c r="K30" s="6">
        <f t="shared" si="5"/>
        <v>1</v>
      </c>
    </row>
    <row r="31" spans="1:11" x14ac:dyDescent="0.3">
      <c r="A31" t="s">
        <v>37</v>
      </c>
      <c r="B31">
        <v>10</v>
      </c>
      <c r="C31">
        <v>10</v>
      </c>
      <c r="D31">
        <v>20</v>
      </c>
      <c r="E31" t="s">
        <v>37</v>
      </c>
      <c r="F31">
        <v>10.705339431762701</v>
      </c>
      <c r="G31">
        <v>13.955667495727541</v>
      </c>
      <c r="H31">
        <v>24.661006927490231</v>
      </c>
      <c r="I31" s="5" t="str">
        <f t="shared" si="3"/>
        <v>Low</v>
      </c>
      <c r="J31" s="5" t="str">
        <f t="shared" si="4"/>
        <v>Low</v>
      </c>
      <c r="K31" s="6">
        <f t="shared" si="5"/>
        <v>1</v>
      </c>
    </row>
    <row r="32" spans="1:11" x14ac:dyDescent="0.3">
      <c r="A32" t="s">
        <v>38</v>
      </c>
      <c r="B32">
        <v>10</v>
      </c>
      <c r="C32">
        <v>10</v>
      </c>
      <c r="D32">
        <v>20</v>
      </c>
      <c r="E32" t="s">
        <v>38</v>
      </c>
      <c r="F32">
        <v>25.295490264892582</v>
      </c>
      <c r="G32">
        <v>31.531656265258789</v>
      </c>
      <c r="H32">
        <v>56.827144622802727</v>
      </c>
      <c r="I32" s="5" t="str">
        <f t="shared" si="3"/>
        <v>Low</v>
      </c>
      <c r="J32" s="5" t="str">
        <f t="shared" si="4"/>
        <v>Medium</v>
      </c>
      <c r="K32" s="6">
        <f t="shared" si="5"/>
        <v>0</v>
      </c>
    </row>
    <row r="33" spans="1:11" x14ac:dyDescent="0.3">
      <c r="A33" t="s">
        <v>39</v>
      </c>
      <c r="B33">
        <v>10</v>
      </c>
      <c r="C33">
        <v>10</v>
      </c>
      <c r="D33">
        <v>20</v>
      </c>
      <c r="E33" t="s">
        <v>39</v>
      </c>
      <c r="F33">
        <v>22.18648719787598</v>
      </c>
      <c r="G33">
        <v>37.386177062988281</v>
      </c>
      <c r="H33">
        <v>59.572666168212891</v>
      </c>
      <c r="I33" s="5" t="str">
        <f t="shared" si="3"/>
        <v>Low</v>
      </c>
      <c r="J33" s="5" t="str">
        <f t="shared" si="4"/>
        <v>Medium</v>
      </c>
      <c r="K33" s="6">
        <f t="shared" si="5"/>
        <v>0</v>
      </c>
    </row>
    <row r="34" spans="1:11" x14ac:dyDescent="0.3">
      <c r="A34" t="s">
        <v>40</v>
      </c>
      <c r="B34">
        <v>10</v>
      </c>
      <c r="C34">
        <v>10</v>
      </c>
      <c r="D34">
        <v>20</v>
      </c>
      <c r="E34" t="s">
        <v>40</v>
      </c>
      <c r="F34">
        <v>24.074151992797852</v>
      </c>
      <c r="G34">
        <v>30.71828460693359</v>
      </c>
      <c r="H34">
        <v>54.792438507080078</v>
      </c>
      <c r="I34" s="5" t="str">
        <f t="shared" si="3"/>
        <v>Low</v>
      </c>
      <c r="J34" s="5" t="str">
        <f t="shared" si="4"/>
        <v>Medium</v>
      </c>
      <c r="K34" s="6">
        <f t="shared" si="5"/>
        <v>0</v>
      </c>
    </row>
    <row r="35" spans="1:11" x14ac:dyDescent="0.3">
      <c r="A35" t="s">
        <v>41</v>
      </c>
      <c r="B35">
        <v>10</v>
      </c>
      <c r="C35">
        <v>20</v>
      </c>
      <c r="D35">
        <v>30.000001907348629</v>
      </c>
      <c r="E35" t="s">
        <v>41</v>
      </c>
      <c r="F35">
        <v>21.876590728759769</v>
      </c>
      <c r="G35">
        <v>28.639322280883789</v>
      </c>
      <c r="H35">
        <v>50.515914916992188</v>
      </c>
      <c r="I35" s="5" t="str">
        <f t="shared" si="3"/>
        <v>Low</v>
      </c>
      <c r="J35" s="5" t="str">
        <f t="shared" si="4"/>
        <v>Medium</v>
      </c>
      <c r="K35" s="6">
        <f t="shared" si="5"/>
        <v>1</v>
      </c>
    </row>
    <row r="36" spans="1:11" x14ac:dyDescent="0.3">
      <c r="A36" t="s">
        <v>42</v>
      </c>
      <c r="B36">
        <v>10</v>
      </c>
      <c r="C36">
        <v>20</v>
      </c>
      <c r="D36">
        <v>30.000001907348629</v>
      </c>
      <c r="E36" t="s">
        <v>42</v>
      </c>
      <c r="F36">
        <v>24.028011322021481</v>
      </c>
      <c r="G36">
        <v>32.655185699462891</v>
      </c>
      <c r="H36">
        <v>56.683193206787109</v>
      </c>
      <c r="I36" s="5" t="str">
        <f t="shared" si="3"/>
        <v>Low</v>
      </c>
      <c r="J36" s="5" t="str">
        <f t="shared" si="4"/>
        <v>Medium</v>
      </c>
      <c r="K36" s="6">
        <f t="shared" si="5"/>
        <v>1</v>
      </c>
    </row>
    <row r="37" spans="1:11" x14ac:dyDescent="0.3">
      <c r="A37" t="s">
        <v>43</v>
      </c>
      <c r="B37">
        <v>10</v>
      </c>
      <c r="C37">
        <v>20</v>
      </c>
      <c r="D37">
        <v>30.000001907348629</v>
      </c>
      <c r="E37" t="s">
        <v>43</v>
      </c>
      <c r="F37">
        <v>13.917764663696291</v>
      </c>
      <c r="G37">
        <v>21.656942367553711</v>
      </c>
      <c r="H37">
        <v>35.57470703125</v>
      </c>
      <c r="I37" s="5" t="str">
        <f t="shared" si="3"/>
        <v>Low</v>
      </c>
      <c r="J37" s="5" t="str">
        <f t="shared" si="4"/>
        <v>Low</v>
      </c>
      <c r="K37" s="6">
        <f t="shared" si="5"/>
        <v>1</v>
      </c>
    </row>
    <row r="38" spans="1:11" x14ac:dyDescent="0.3">
      <c r="A38" t="s">
        <v>44</v>
      </c>
      <c r="B38">
        <v>10</v>
      </c>
      <c r="C38">
        <v>20</v>
      </c>
      <c r="D38">
        <v>30.000001907348629</v>
      </c>
      <c r="E38" t="s">
        <v>44</v>
      </c>
      <c r="F38">
        <v>31.62529373168945</v>
      </c>
      <c r="G38">
        <v>43.022739410400391</v>
      </c>
      <c r="H38">
        <v>74.648033142089844</v>
      </c>
      <c r="I38" s="5" t="str">
        <f t="shared" si="3"/>
        <v>Low</v>
      </c>
      <c r="J38" s="5" t="str">
        <f t="shared" si="4"/>
        <v>High</v>
      </c>
      <c r="K38" s="6">
        <f t="shared" si="5"/>
        <v>0</v>
      </c>
    </row>
    <row r="39" spans="1:11" x14ac:dyDescent="0.3">
      <c r="A39" t="s">
        <v>45</v>
      </c>
      <c r="B39">
        <v>10</v>
      </c>
      <c r="C39">
        <v>20</v>
      </c>
      <c r="D39">
        <v>30.000001907348629</v>
      </c>
      <c r="E39" t="s">
        <v>45</v>
      </c>
      <c r="F39">
        <v>26.77033615112305</v>
      </c>
      <c r="G39">
        <v>39.750144958496087</v>
      </c>
      <c r="H39">
        <v>66.520477294921875</v>
      </c>
      <c r="I39" s="5" t="str">
        <f t="shared" si="3"/>
        <v>Low</v>
      </c>
      <c r="J39" s="5" t="str">
        <f t="shared" si="4"/>
        <v>Medium</v>
      </c>
      <c r="K39" s="6">
        <f t="shared" si="5"/>
        <v>0</v>
      </c>
    </row>
    <row r="40" spans="1:11" x14ac:dyDescent="0.3">
      <c r="A40" t="s">
        <v>46</v>
      </c>
      <c r="B40">
        <v>10</v>
      </c>
      <c r="C40">
        <v>20</v>
      </c>
      <c r="D40">
        <v>30.000001907348629</v>
      </c>
      <c r="E40" t="s">
        <v>46</v>
      </c>
      <c r="F40">
        <v>40.232158660888672</v>
      </c>
      <c r="G40">
        <v>52.571010589599609</v>
      </c>
      <c r="H40">
        <v>92.803169250488281</v>
      </c>
      <c r="I40" s="5" t="str">
        <f t="shared" si="3"/>
        <v>Low</v>
      </c>
      <c r="J40" s="5" t="str">
        <f t="shared" si="4"/>
        <v>High</v>
      </c>
      <c r="K40" s="6">
        <f t="shared" si="5"/>
        <v>0</v>
      </c>
    </row>
    <row r="41" spans="1:11" x14ac:dyDescent="0.3">
      <c r="A41" t="s">
        <v>47</v>
      </c>
      <c r="B41">
        <v>10</v>
      </c>
      <c r="C41">
        <v>20</v>
      </c>
      <c r="D41">
        <v>30.000001907348629</v>
      </c>
      <c r="E41" t="s">
        <v>47</v>
      </c>
      <c r="F41">
        <v>41.466667175292969</v>
      </c>
      <c r="G41">
        <v>60.381595611572273</v>
      </c>
      <c r="H41">
        <v>101.8482666015625</v>
      </c>
      <c r="I41" s="5" t="str">
        <f t="shared" si="3"/>
        <v>Low</v>
      </c>
      <c r="J41" s="5" t="str">
        <f t="shared" si="4"/>
        <v>High</v>
      </c>
      <c r="K41" s="6">
        <f t="shared" si="5"/>
        <v>0</v>
      </c>
    </row>
    <row r="42" spans="1:11" x14ac:dyDescent="0.3">
      <c r="A42" t="s">
        <v>48</v>
      </c>
      <c r="B42">
        <v>10</v>
      </c>
      <c r="C42">
        <v>20</v>
      </c>
      <c r="D42">
        <v>30.000001907348629</v>
      </c>
      <c r="E42" t="s">
        <v>48</v>
      </c>
      <c r="F42">
        <v>40.036506652832031</v>
      </c>
      <c r="G42">
        <v>53.861747741699219</v>
      </c>
      <c r="H42">
        <v>93.89825439453125</v>
      </c>
      <c r="I42" s="5" t="str">
        <f t="shared" si="3"/>
        <v>Low</v>
      </c>
      <c r="J42" s="5" t="str">
        <f t="shared" si="4"/>
        <v>High</v>
      </c>
      <c r="K42" s="6">
        <f t="shared" si="5"/>
        <v>0</v>
      </c>
    </row>
    <row r="43" spans="1:11" x14ac:dyDescent="0.3">
      <c r="A43" t="s">
        <v>49</v>
      </c>
      <c r="B43">
        <v>10</v>
      </c>
      <c r="C43">
        <v>20</v>
      </c>
      <c r="D43">
        <v>30.000001907348629</v>
      </c>
      <c r="E43" t="s">
        <v>49</v>
      </c>
      <c r="F43">
        <v>38.532020568847663</v>
      </c>
      <c r="G43">
        <v>49.628013610839837</v>
      </c>
      <c r="H43">
        <v>88.1600341796875</v>
      </c>
      <c r="I43" s="5" t="str">
        <f t="shared" si="3"/>
        <v>Low</v>
      </c>
      <c r="J43" s="5" t="str">
        <f t="shared" si="4"/>
        <v>High</v>
      </c>
      <c r="K43" s="6">
        <f t="shared" si="5"/>
        <v>0</v>
      </c>
    </row>
    <row r="44" spans="1:11" x14ac:dyDescent="0.3">
      <c r="A44" t="s">
        <v>50</v>
      </c>
      <c r="B44">
        <v>10</v>
      </c>
      <c r="C44">
        <v>20</v>
      </c>
      <c r="D44">
        <v>30.000001907348629</v>
      </c>
      <c r="E44" t="s">
        <v>50</v>
      </c>
      <c r="F44">
        <v>30.161922454833981</v>
      </c>
      <c r="G44">
        <v>41.325229644775391</v>
      </c>
      <c r="H44">
        <v>71.487152099609375</v>
      </c>
      <c r="I44" s="5" t="str">
        <f t="shared" si="3"/>
        <v>Low</v>
      </c>
      <c r="J44" s="5" t="str">
        <f t="shared" si="4"/>
        <v>High</v>
      </c>
      <c r="K44" s="6">
        <f t="shared" si="5"/>
        <v>0</v>
      </c>
    </row>
    <row r="45" spans="1:11" x14ac:dyDescent="0.3">
      <c r="A45" t="s">
        <v>51</v>
      </c>
      <c r="B45">
        <v>10</v>
      </c>
      <c r="C45">
        <v>20</v>
      </c>
      <c r="D45">
        <v>30.000001907348629</v>
      </c>
      <c r="E45" t="s">
        <v>51</v>
      </c>
      <c r="F45">
        <v>25.301759719848629</v>
      </c>
      <c r="G45">
        <v>37.769390106201172</v>
      </c>
      <c r="H45">
        <v>63.071147918701172</v>
      </c>
      <c r="I45" s="5" t="str">
        <f t="shared" si="3"/>
        <v>Low</v>
      </c>
      <c r="J45" s="5" t="str">
        <f t="shared" si="4"/>
        <v>Medium</v>
      </c>
      <c r="K45" s="6">
        <f t="shared" si="5"/>
        <v>0</v>
      </c>
    </row>
    <row r="46" spans="1:11" x14ac:dyDescent="0.3">
      <c r="A46" t="s">
        <v>52</v>
      </c>
      <c r="B46">
        <v>10</v>
      </c>
      <c r="C46">
        <v>20</v>
      </c>
      <c r="D46">
        <v>30.000001907348629</v>
      </c>
      <c r="E46" t="s">
        <v>52</v>
      </c>
      <c r="F46">
        <v>23.8505859375</v>
      </c>
      <c r="G46">
        <v>31.200344085693359</v>
      </c>
      <c r="H46">
        <v>55.050926208496087</v>
      </c>
      <c r="I46" s="5" t="str">
        <f t="shared" si="3"/>
        <v>Low</v>
      </c>
      <c r="J46" s="5" t="str">
        <f t="shared" si="4"/>
        <v>Medium</v>
      </c>
      <c r="K46" s="6">
        <f t="shared" si="5"/>
        <v>1</v>
      </c>
    </row>
    <row r="47" spans="1:11" x14ac:dyDescent="0.3">
      <c r="A47" t="s">
        <v>53</v>
      </c>
      <c r="B47">
        <v>10</v>
      </c>
      <c r="C47">
        <v>60.000003814697273</v>
      </c>
      <c r="D47">
        <v>70.000007629394531</v>
      </c>
      <c r="E47" t="s">
        <v>53</v>
      </c>
      <c r="F47">
        <v>24.086904525756839</v>
      </c>
      <c r="G47">
        <v>30.168575286865231</v>
      </c>
      <c r="H47">
        <v>54.255477905273438</v>
      </c>
      <c r="I47" s="5" t="str">
        <f t="shared" si="3"/>
        <v>High</v>
      </c>
      <c r="J47" s="5" t="str">
        <f t="shared" si="4"/>
        <v>Medium</v>
      </c>
      <c r="K47" s="6">
        <f t="shared" si="5"/>
        <v>1</v>
      </c>
    </row>
    <row r="48" spans="1:11" x14ac:dyDescent="0.3">
      <c r="A48" t="s">
        <v>54</v>
      </c>
      <c r="B48">
        <v>10</v>
      </c>
      <c r="C48">
        <v>60.000003814697273</v>
      </c>
      <c r="D48">
        <v>70.000007629394531</v>
      </c>
      <c r="E48" t="s">
        <v>54</v>
      </c>
      <c r="F48">
        <v>28.667207717895511</v>
      </c>
      <c r="G48">
        <v>34.342800140380859</v>
      </c>
      <c r="H48">
        <v>63.010013580322273</v>
      </c>
      <c r="I48" s="5" t="str">
        <f t="shared" si="3"/>
        <v>High</v>
      </c>
      <c r="J48" s="5" t="str">
        <f t="shared" si="4"/>
        <v>Medium</v>
      </c>
      <c r="K48" s="6">
        <f t="shared" si="5"/>
        <v>1</v>
      </c>
    </row>
    <row r="49" spans="1:11" x14ac:dyDescent="0.3">
      <c r="A49" t="s">
        <v>55</v>
      </c>
      <c r="B49">
        <v>10</v>
      </c>
      <c r="C49">
        <v>60.000003814697273</v>
      </c>
      <c r="D49">
        <v>70.000007629394531</v>
      </c>
      <c r="E49" t="s">
        <v>55</v>
      </c>
      <c r="F49">
        <v>19.286775588989261</v>
      </c>
      <c r="G49">
        <v>26.06790733337402</v>
      </c>
      <c r="H49">
        <v>45.354682922363281</v>
      </c>
      <c r="I49" s="5" t="str">
        <f t="shared" si="3"/>
        <v>High</v>
      </c>
      <c r="J49" s="5" t="str">
        <f t="shared" si="4"/>
        <v>Medium</v>
      </c>
      <c r="K49" s="6">
        <f t="shared" si="5"/>
        <v>1</v>
      </c>
    </row>
    <row r="50" spans="1:11" x14ac:dyDescent="0.3">
      <c r="A50" t="s">
        <v>56</v>
      </c>
      <c r="B50">
        <v>10</v>
      </c>
      <c r="C50">
        <v>60.000003814697273</v>
      </c>
      <c r="D50">
        <v>70.000007629394531</v>
      </c>
      <c r="E50" t="s">
        <v>56</v>
      </c>
      <c r="F50">
        <v>28.286972045898441</v>
      </c>
      <c r="G50">
        <v>35.732822418212891</v>
      </c>
      <c r="H50">
        <v>64.019790649414063</v>
      </c>
      <c r="I50" s="5" t="str">
        <f t="shared" si="3"/>
        <v>High</v>
      </c>
      <c r="J50" s="5" t="str">
        <f t="shared" si="4"/>
        <v>Medium</v>
      </c>
      <c r="K50" s="6">
        <f t="shared" si="5"/>
        <v>1</v>
      </c>
    </row>
    <row r="51" spans="1:11" x14ac:dyDescent="0.3">
      <c r="A51" t="s">
        <v>57</v>
      </c>
      <c r="B51">
        <v>10</v>
      </c>
      <c r="C51">
        <v>60.000003814697273</v>
      </c>
      <c r="D51">
        <v>70.000007629394531</v>
      </c>
      <c r="E51" t="s">
        <v>57</v>
      </c>
      <c r="F51">
        <v>26.692363739013668</v>
      </c>
      <c r="G51">
        <v>32.862495422363281</v>
      </c>
      <c r="H51">
        <v>59.554862976074219</v>
      </c>
      <c r="I51" s="5" t="str">
        <f t="shared" si="3"/>
        <v>High</v>
      </c>
      <c r="J51" s="5" t="str">
        <f t="shared" si="4"/>
        <v>Medium</v>
      </c>
      <c r="K51" s="6">
        <f t="shared" si="5"/>
        <v>1</v>
      </c>
    </row>
    <row r="52" spans="1:11" x14ac:dyDescent="0.3">
      <c r="A52" t="s">
        <v>58</v>
      </c>
      <c r="B52">
        <v>10</v>
      </c>
      <c r="C52">
        <v>60.000003814697273</v>
      </c>
      <c r="D52">
        <v>70.000007629394531</v>
      </c>
      <c r="E52" t="s">
        <v>58</v>
      </c>
      <c r="F52">
        <v>26.690578460693359</v>
      </c>
      <c r="G52">
        <v>34.478717803955078</v>
      </c>
      <c r="H52">
        <v>61.169296264648438</v>
      </c>
      <c r="I52" s="5" t="str">
        <f t="shared" si="3"/>
        <v>High</v>
      </c>
      <c r="J52" s="5" t="str">
        <f t="shared" si="4"/>
        <v>Medium</v>
      </c>
      <c r="K52" s="6">
        <f t="shared" si="5"/>
        <v>1</v>
      </c>
    </row>
    <row r="53" spans="1:11" x14ac:dyDescent="0.3">
      <c r="A53" t="s">
        <v>59</v>
      </c>
      <c r="B53">
        <v>10</v>
      </c>
      <c r="C53">
        <v>50</v>
      </c>
      <c r="D53">
        <v>60.000003814697273</v>
      </c>
      <c r="E53" t="s">
        <v>59</v>
      </c>
      <c r="F53">
        <v>33.036060333251953</v>
      </c>
      <c r="G53">
        <v>44.370342254638672</v>
      </c>
      <c r="H53">
        <v>77.406402587890625</v>
      </c>
      <c r="I53" s="5" t="str">
        <f t="shared" si="3"/>
        <v>Medium</v>
      </c>
      <c r="J53" s="5" t="str">
        <f t="shared" si="4"/>
        <v>High</v>
      </c>
      <c r="K53" s="6">
        <f t="shared" si="5"/>
        <v>1</v>
      </c>
    </row>
    <row r="54" spans="1:11" x14ac:dyDescent="0.3">
      <c r="A54" t="s">
        <v>60</v>
      </c>
      <c r="B54">
        <v>10</v>
      </c>
      <c r="C54">
        <v>50</v>
      </c>
      <c r="D54">
        <v>60.000003814697273</v>
      </c>
      <c r="E54" t="s">
        <v>60</v>
      </c>
      <c r="F54">
        <v>31.531560897827148</v>
      </c>
      <c r="G54">
        <v>36.914009094238281</v>
      </c>
      <c r="H54">
        <v>68.445571899414063</v>
      </c>
      <c r="I54" s="5" t="str">
        <f t="shared" si="3"/>
        <v>Medium</v>
      </c>
      <c r="J54" s="5" t="str">
        <f t="shared" si="4"/>
        <v>Medium</v>
      </c>
      <c r="K54" s="6">
        <f t="shared" si="5"/>
        <v>1</v>
      </c>
    </row>
    <row r="55" spans="1:11" x14ac:dyDescent="0.3">
      <c r="A55" t="s">
        <v>61</v>
      </c>
      <c r="B55">
        <v>10</v>
      </c>
      <c r="C55">
        <v>50</v>
      </c>
      <c r="D55">
        <v>60.000003814697273</v>
      </c>
      <c r="E55" t="s">
        <v>61</v>
      </c>
      <c r="F55">
        <v>29.11751556396484</v>
      </c>
      <c r="G55">
        <v>34.055030822753913</v>
      </c>
      <c r="H55">
        <v>63.172542572021477</v>
      </c>
      <c r="I55" s="5" t="str">
        <f t="shared" si="3"/>
        <v>Medium</v>
      </c>
      <c r="J55" s="5" t="str">
        <f t="shared" si="4"/>
        <v>Medium</v>
      </c>
      <c r="K55" s="6">
        <f t="shared" si="5"/>
        <v>1</v>
      </c>
    </row>
    <row r="56" spans="1:11" x14ac:dyDescent="0.3">
      <c r="A56" t="s">
        <v>62</v>
      </c>
      <c r="B56">
        <v>10</v>
      </c>
      <c r="C56">
        <v>50</v>
      </c>
      <c r="D56">
        <v>60.000003814697273</v>
      </c>
      <c r="E56" t="s">
        <v>62</v>
      </c>
      <c r="F56">
        <v>24.085649490356449</v>
      </c>
      <c r="G56">
        <v>32.700492858886719</v>
      </c>
      <c r="H56">
        <v>56.786144256591797</v>
      </c>
      <c r="I56" s="5" t="str">
        <f t="shared" si="3"/>
        <v>Medium</v>
      </c>
      <c r="J56" s="5" t="str">
        <f t="shared" si="4"/>
        <v>Medium</v>
      </c>
      <c r="K56" s="6">
        <f t="shared" si="5"/>
        <v>1</v>
      </c>
    </row>
    <row r="57" spans="1:11" x14ac:dyDescent="0.3">
      <c r="A57" t="s">
        <v>63</v>
      </c>
      <c r="B57">
        <v>10</v>
      </c>
      <c r="C57">
        <v>50</v>
      </c>
      <c r="D57">
        <v>60.000003814697273</v>
      </c>
      <c r="E57" t="s">
        <v>63</v>
      </c>
      <c r="F57">
        <v>28.054502487182621</v>
      </c>
      <c r="G57">
        <v>36.692085266113281</v>
      </c>
      <c r="H57">
        <v>64.746589660644531</v>
      </c>
      <c r="I57" s="5" t="str">
        <f t="shared" si="3"/>
        <v>Medium</v>
      </c>
      <c r="J57" s="5" t="str">
        <f t="shared" si="4"/>
        <v>Medium</v>
      </c>
      <c r="K57" s="6">
        <f t="shared" si="5"/>
        <v>1</v>
      </c>
    </row>
    <row r="58" spans="1:11" x14ac:dyDescent="0.3">
      <c r="A58" t="s">
        <v>64</v>
      </c>
      <c r="B58">
        <v>10</v>
      </c>
      <c r="C58">
        <v>50</v>
      </c>
      <c r="D58">
        <v>60.000003814697273</v>
      </c>
      <c r="E58" t="s">
        <v>64</v>
      </c>
      <c r="F58">
        <v>21.467531204223629</v>
      </c>
      <c r="G58">
        <v>25.317413330078121</v>
      </c>
      <c r="H58">
        <v>46.784942626953118</v>
      </c>
      <c r="I58" s="5" t="str">
        <f t="shared" si="3"/>
        <v>Medium</v>
      </c>
      <c r="J58" s="5" t="str">
        <f t="shared" si="4"/>
        <v>Medium</v>
      </c>
      <c r="K58" s="6">
        <f t="shared" si="5"/>
        <v>1</v>
      </c>
    </row>
    <row r="59" spans="1:11" x14ac:dyDescent="0.3">
      <c r="A59" t="s">
        <v>65</v>
      </c>
      <c r="B59">
        <v>10</v>
      </c>
      <c r="C59">
        <v>50</v>
      </c>
      <c r="D59">
        <v>60.000003814697273</v>
      </c>
      <c r="E59" t="s">
        <v>65</v>
      </c>
      <c r="F59">
        <v>28.419330596923832</v>
      </c>
      <c r="G59">
        <v>36.932842254638672</v>
      </c>
      <c r="H59">
        <v>65.352180480957031</v>
      </c>
      <c r="I59" s="5" t="str">
        <f t="shared" si="3"/>
        <v>Medium</v>
      </c>
      <c r="J59" s="5" t="str">
        <f t="shared" si="4"/>
        <v>Medium</v>
      </c>
      <c r="K59" s="6">
        <f t="shared" si="5"/>
        <v>1</v>
      </c>
    </row>
    <row r="60" spans="1:11" x14ac:dyDescent="0.3">
      <c r="A60" t="s">
        <v>66</v>
      </c>
      <c r="B60">
        <v>10</v>
      </c>
      <c r="C60">
        <v>50</v>
      </c>
      <c r="D60">
        <v>60.000003814697273</v>
      </c>
      <c r="E60" t="s">
        <v>66</v>
      </c>
      <c r="F60">
        <v>27.399570465087891</v>
      </c>
      <c r="G60">
        <v>35.197238922119141</v>
      </c>
      <c r="H60">
        <v>62.596809387207031</v>
      </c>
      <c r="I60" s="5" t="str">
        <f t="shared" si="3"/>
        <v>Medium</v>
      </c>
      <c r="J60" s="5" t="str">
        <f t="shared" si="4"/>
        <v>Medium</v>
      </c>
      <c r="K60" s="6">
        <f t="shared" si="5"/>
        <v>1</v>
      </c>
    </row>
    <row r="61" spans="1:11" x14ac:dyDescent="0.3">
      <c r="A61" t="s">
        <v>67</v>
      </c>
      <c r="B61">
        <v>10</v>
      </c>
      <c r="C61">
        <v>50</v>
      </c>
      <c r="D61">
        <v>60.000003814697273</v>
      </c>
      <c r="E61" t="s">
        <v>67</v>
      </c>
      <c r="F61">
        <v>19.841489791870121</v>
      </c>
      <c r="G61">
        <v>29.09466552734375</v>
      </c>
      <c r="H61">
        <v>48.9361572265625</v>
      </c>
      <c r="I61" s="5" t="str">
        <f t="shared" si="3"/>
        <v>Medium</v>
      </c>
      <c r="J61" s="5" t="str">
        <f t="shared" si="4"/>
        <v>Medium</v>
      </c>
      <c r="K61" s="6">
        <f t="shared" si="5"/>
        <v>1</v>
      </c>
    </row>
    <row r="62" spans="1:11" x14ac:dyDescent="0.3">
      <c r="A62" t="s">
        <v>68</v>
      </c>
      <c r="B62">
        <v>10</v>
      </c>
      <c r="C62">
        <v>50</v>
      </c>
      <c r="D62">
        <v>60.000003814697273</v>
      </c>
      <c r="E62" t="s">
        <v>68</v>
      </c>
      <c r="F62">
        <v>18.414157867431641</v>
      </c>
      <c r="G62">
        <v>23.839532852172852</v>
      </c>
      <c r="H62">
        <v>42.253692626953118</v>
      </c>
      <c r="I62" s="5" t="str">
        <f t="shared" si="3"/>
        <v>Medium</v>
      </c>
      <c r="J62" s="5" t="str">
        <f t="shared" si="4"/>
        <v>Medium</v>
      </c>
      <c r="K62" s="6">
        <f t="shared" si="5"/>
        <v>1</v>
      </c>
    </row>
    <row r="63" spans="1:11" x14ac:dyDescent="0.3">
      <c r="A63" t="s">
        <v>69</v>
      </c>
      <c r="B63">
        <v>10</v>
      </c>
      <c r="C63">
        <v>50</v>
      </c>
      <c r="D63">
        <v>60.000003814697273</v>
      </c>
      <c r="E63" t="s">
        <v>69</v>
      </c>
      <c r="F63">
        <v>14.723861694335939</v>
      </c>
      <c r="G63">
        <v>30.369583129882809</v>
      </c>
      <c r="H63">
        <v>45.09344482421875</v>
      </c>
      <c r="I63" s="5" t="str">
        <f t="shared" si="3"/>
        <v>Medium</v>
      </c>
      <c r="J63" s="5" t="str">
        <f t="shared" si="4"/>
        <v>Medium</v>
      </c>
      <c r="K63" s="6">
        <f t="shared" si="5"/>
        <v>1</v>
      </c>
    </row>
    <row r="64" spans="1:11" x14ac:dyDescent="0.3">
      <c r="A64" t="s">
        <v>70</v>
      </c>
      <c r="B64">
        <v>10</v>
      </c>
      <c r="C64">
        <v>50</v>
      </c>
      <c r="D64">
        <v>60.000003814697273</v>
      </c>
      <c r="E64" t="s">
        <v>70</v>
      </c>
      <c r="F64">
        <v>23.657121658325199</v>
      </c>
      <c r="G64">
        <v>44.327163696289063</v>
      </c>
      <c r="H64">
        <v>67.984283447265625</v>
      </c>
      <c r="I64" s="5" t="str">
        <f t="shared" si="3"/>
        <v>Medium</v>
      </c>
      <c r="J64" s="5" t="str">
        <f t="shared" si="4"/>
        <v>Medium</v>
      </c>
      <c r="K64" s="6">
        <f t="shared" si="5"/>
        <v>1</v>
      </c>
    </row>
    <row r="65" spans="1:11" x14ac:dyDescent="0.3">
      <c r="A65" t="s">
        <v>71</v>
      </c>
      <c r="B65">
        <v>10</v>
      </c>
      <c r="C65">
        <v>10</v>
      </c>
      <c r="D65">
        <v>20</v>
      </c>
      <c r="E65" t="s">
        <v>71</v>
      </c>
      <c r="F65">
        <v>31.972211837768551</v>
      </c>
      <c r="G65">
        <v>43.862297058105469</v>
      </c>
      <c r="H65">
        <v>75.834503173828125</v>
      </c>
      <c r="I65" s="5" t="str">
        <f t="shared" si="3"/>
        <v>Low</v>
      </c>
      <c r="J65" s="5" t="str">
        <f t="shared" si="4"/>
        <v>High</v>
      </c>
      <c r="K65" s="6">
        <f t="shared" si="5"/>
        <v>0</v>
      </c>
    </row>
    <row r="66" spans="1:11" x14ac:dyDescent="0.3">
      <c r="A66" t="s">
        <v>72</v>
      </c>
      <c r="B66">
        <v>10</v>
      </c>
      <c r="C66">
        <v>10</v>
      </c>
      <c r="D66">
        <v>20</v>
      </c>
      <c r="E66" t="s">
        <v>72</v>
      </c>
      <c r="F66">
        <v>20.239919662475589</v>
      </c>
      <c r="G66">
        <v>26.328229904174801</v>
      </c>
      <c r="H66">
        <v>46.568149566650391</v>
      </c>
      <c r="I66" s="5" t="str">
        <f t="shared" si="3"/>
        <v>Low</v>
      </c>
      <c r="J66" s="5" t="str">
        <f t="shared" si="4"/>
        <v>Medium</v>
      </c>
      <c r="K66" s="6">
        <f t="shared" si="5"/>
        <v>1</v>
      </c>
    </row>
    <row r="67" spans="1:11" x14ac:dyDescent="0.3">
      <c r="A67" t="s">
        <v>73</v>
      </c>
      <c r="B67">
        <v>10</v>
      </c>
      <c r="C67">
        <v>10</v>
      </c>
      <c r="D67">
        <v>20</v>
      </c>
      <c r="E67" t="s">
        <v>73</v>
      </c>
      <c r="F67">
        <v>22.767684936523441</v>
      </c>
      <c r="G67">
        <v>44.742656707763672</v>
      </c>
      <c r="H67">
        <v>67.510345458984375</v>
      </c>
      <c r="I67" s="5" t="str">
        <f t="shared" si="3"/>
        <v>Low</v>
      </c>
      <c r="J67" s="5" t="str">
        <f t="shared" si="4"/>
        <v>Medium</v>
      </c>
      <c r="K67" s="6">
        <f t="shared" si="5"/>
        <v>0</v>
      </c>
    </row>
    <row r="68" spans="1:11" x14ac:dyDescent="0.3">
      <c r="A68" t="s">
        <v>74</v>
      </c>
      <c r="B68">
        <v>10</v>
      </c>
      <c r="C68">
        <v>10</v>
      </c>
      <c r="D68">
        <v>20</v>
      </c>
      <c r="E68" t="s">
        <v>74</v>
      </c>
      <c r="F68">
        <v>45.717380523681641</v>
      </c>
      <c r="G68">
        <v>63.535469055175781</v>
      </c>
      <c r="H68">
        <v>109.2528457641602</v>
      </c>
      <c r="I68" s="5" t="str">
        <f t="shared" si="3"/>
        <v>Low</v>
      </c>
      <c r="J68" s="5" t="str">
        <f t="shared" si="4"/>
        <v>High</v>
      </c>
      <c r="K68" s="6">
        <f t="shared" si="5"/>
        <v>0</v>
      </c>
    </row>
    <row r="69" spans="1:11" x14ac:dyDescent="0.3">
      <c r="A69" t="s">
        <v>75</v>
      </c>
      <c r="B69">
        <v>10</v>
      </c>
      <c r="C69">
        <v>10</v>
      </c>
      <c r="D69">
        <v>20</v>
      </c>
      <c r="E69" t="s">
        <v>75</v>
      </c>
      <c r="F69">
        <v>49.398876190185547</v>
      </c>
      <c r="G69">
        <v>80.869148254394531</v>
      </c>
      <c r="H69">
        <v>130.26802062988281</v>
      </c>
      <c r="I69" s="5" t="str">
        <f t="shared" ref="I69:I132" si="6" xml:space="preserve"> IF(D69 &lt;= 39, "Low",
               IF(D69 &lt;= 69, "Medium", "High"))</f>
        <v>Low</v>
      </c>
      <c r="J69" s="5" t="str">
        <f t="shared" ref="J69:J132" si="7" xml:space="preserve"> IF(H69 &lt;= 39, "Low",
               IF(H69 &lt;= 69, "Medium", "High"))</f>
        <v>High</v>
      </c>
      <c r="K69" s="6">
        <f t="shared" ref="K69:K132" si="8" xml:space="preserve"> IF(ABS(D69 - H69) &lt;= 30, 1, 0)</f>
        <v>0</v>
      </c>
    </row>
    <row r="70" spans="1:11" x14ac:dyDescent="0.3">
      <c r="A70" t="s">
        <v>76</v>
      </c>
      <c r="B70">
        <v>10</v>
      </c>
      <c r="C70">
        <v>10</v>
      </c>
      <c r="D70">
        <v>20</v>
      </c>
      <c r="E70" t="s">
        <v>76</v>
      </c>
      <c r="F70">
        <v>44.749099731445313</v>
      </c>
      <c r="G70">
        <v>64.558616638183594</v>
      </c>
      <c r="H70">
        <v>109.30771636962891</v>
      </c>
      <c r="I70" s="5" t="str">
        <f t="shared" si="6"/>
        <v>Low</v>
      </c>
      <c r="J70" s="5" t="str">
        <f t="shared" si="7"/>
        <v>High</v>
      </c>
      <c r="K70" s="6">
        <f t="shared" si="8"/>
        <v>0</v>
      </c>
    </row>
    <row r="71" spans="1:11" x14ac:dyDescent="0.3">
      <c r="A71" t="s">
        <v>77</v>
      </c>
      <c r="B71">
        <v>80</v>
      </c>
      <c r="C71">
        <v>90</v>
      </c>
      <c r="D71">
        <v>170</v>
      </c>
      <c r="E71" t="s">
        <v>77</v>
      </c>
      <c r="F71">
        <v>43.99163818359375</v>
      </c>
      <c r="G71">
        <v>59.199386596679688</v>
      </c>
      <c r="H71">
        <v>103.19101715087891</v>
      </c>
      <c r="I71" s="5" t="str">
        <f t="shared" si="6"/>
        <v>High</v>
      </c>
      <c r="J71" s="5" t="str">
        <f t="shared" si="7"/>
        <v>High</v>
      </c>
      <c r="K71" s="6">
        <f t="shared" si="8"/>
        <v>0</v>
      </c>
    </row>
    <row r="72" spans="1:11" x14ac:dyDescent="0.3">
      <c r="A72" t="s">
        <v>78</v>
      </c>
      <c r="B72">
        <v>80</v>
      </c>
      <c r="C72">
        <v>90</v>
      </c>
      <c r="D72">
        <v>170</v>
      </c>
      <c r="E72" t="s">
        <v>78</v>
      </c>
      <c r="F72">
        <v>48.787498474121087</v>
      </c>
      <c r="G72">
        <v>69.020393371582031</v>
      </c>
      <c r="H72">
        <v>117.8078918457031</v>
      </c>
      <c r="I72" s="5" t="str">
        <f t="shared" si="6"/>
        <v>High</v>
      </c>
      <c r="J72" s="5" t="str">
        <f t="shared" si="7"/>
        <v>High</v>
      </c>
      <c r="K72" s="6">
        <f t="shared" si="8"/>
        <v>0</v>
      </c>
    </row>
    <row r="73" spans="1:11" x14ac:dyDescent="0.3">
      <c r="A73" t="s">
        <v>79</v>
      </c>
      <c r="B73">
        <v>80</v>
      </c>
      <c r="C73">
        <v>90</v>
      </c>
      <c r="D73">
        <v>170</v>
      </c>
      <c r="E73" t="s">
        <v>79</v>
      </c>
      <c r="F73">
        <v>36.395126342773438</v>
      </c>
      <c r="G73">
        <v>55.478607177734382</v>
      </c>
      <c r="H73">
        <v>91.873733520507813</v>
      </c>
      <c r="I73" s="5" t="str">
        <f t="shared" si="6"/>
        <v>High</v>
      </c>
      <c r="J73" s="5" t="str">
        <f t="shared" si="7"/>
        <v>High</v>
      </c>
      <c r="K73" s="6">
        <f t="shared" si="8"/>
        <v>0</v>
      </c>
    </row>
    <row r="74" spans="1:11" x14ac:dyDescent="0.3">
      <c r="A74" t="s">
        <v>80</v>
      </c>
      <c r="B74">
        <v>80</v>
      </c>
      <c r="C74">
        <v>90</v>
      </c>
      <c r="D74">
        <v>170</v>
      </c>
      <c r="E74" t="s">
        <v>80</v>
      </c>
      <c r="F74">
        <v>39.2159423828125</v>
      </c>
      <c r="G74">
        <v>33.095497131347663</v>
      </c>
      <c r="H74">
        <v>72.311439514160156</v>
      </c>
      <c r="I74" s="5" t="str">
        <f t="shared" si="6"/>
        <v>High</v>
      </c>
      <c r="J74" s="5" t="str">
        <f t="shared" si="7"/>
        <v>High</v>
      </c>
      <c r="K74" s="6">
        <f t="shared" si="8"/>
        <v>0</v>
      </c>
    </row>
    <row r="75" spans="1:11" x14ac:dyDescent="0.3">
      <c r="A75" t="s">
        <v>81</v>
      </c>
      <c r="B75">
        <v>80</v>
      </c>
      <c r="C75">
        <v>90</v>
      </c>
      <c r="D75">
        <v>170</v>
      </c>
      <c r="E75" t="s">
        <v>81</v>
      </c>
      <c r="F75">
        <v>49.079544067382813</v>
      </c>
      <c r="G75">
        <v>39.223991394042969</v>
      </c>
      <c r="H75">
        <v>88.303535461425781</v>
      </c>
      <c r="I75" s="5" t="str">
        <f t="shared" si="6"/>
        <v>High</v>
      </c>
      <c r="J75" s="5" t="str">
        <f t="shared" si="7"/>
        <v>High</v>
      </c>
      <c r="K75" s="6">
        <f t="shared" si="8"/>
        <v>0</v>
      </c>
    </row>
    <row r="76" spans="1:11" x14ac:dyDescent="0.3">
      <c r="A76" t="s">
        <v>82</v>
      </c>
      <c r="B76">
        <v>80</v>
      </c>
      <c r="C76">
        <v>90</v>
      </c>
      <c r="D76">
        <v>170</v>
      </c>
      <c r="E76" t="s">
        <v>82</v>
      </c>
      <c r="F76">
        <v>43.119125366210938</v>
      </c>
      <c r="G76">
        <v>38.954132080078118</v>
      </c>
      <c r="H76">
        <v>82.073257446289063</v>
      </c>
      <c r="I76" s="5" t="str">
        <f t="shared" si="6"/>
        <v>High</v>
      </c>
      <c r="J76" s="5" t="str">
        <f t="shared" si="7"/>
        <v>High</v>
      </c>
      <c r="K76" s="6">
        <f t="shared" si="8"/>
        <v>0</v>
      </c>
    </row>
    <row r="77" spans="1:11" x14ac:dyDescent="0.3">
      <c r="A77" t="s">
        <v>83</v>
      </c>
      <c r="B77">
        <v>30.000001907348629</v>
      </c>
      <c r="C77">
        <v>60.000003814697273</v>
      </c>
      <c r="D77">
        <v>90</v>
      </c>
      <c r="E77" t="s">
        <v>83</v>
      </c>
      <c r="F77">
        <v>46.501560211181641</v>
      </c>
      <c r="G77">
        <v>39.281879425048828</v>
      </c>
      <c r="H77">
        <v>85.783447265625</v>
      </c>
      <c r="I77" s="5" t="str">
        <f t="shared" si="6"/>
        <v>High</v>
      </c>
      <c r="J77" s="5" t="str">
        <f t="shared" si="7"/>
        <v>High</v>
      </c>
      <c r="K77" s="6">
        <f t="shared" si="8"/>
        <v>1</v>
      </c>
    </row>
    <row r="78" spans="1:11" x14ac:dyDescent="0.3">
      <c r="A78" t="s">
        <v>84</v>
      </c>
      <c r="B78">
        <v>30.000001907348629</v>
      </c>
      <c r="C78">
        <v>60.000003814697273</v>
      </c>
      <c r="D78">
        <v>90</v>
      </c>
      <c r="E78" t="s">
        <v>84</v>
      </c>
      <c r="F78">
        <v>38.842647552490227</v>
      </c>
      <c r="G78">
        <v>20.203292846679691</v>
      </c>
      <c r="H78">
        <v>59.045940399169922</v>
      </c>
      <c r="I78" s="5" t="str">
        <f t="shared" si="6"/>
        <v>High</v>
      </c>
      <c r="J78" s="5" t="str">
        <f t="shared" si="7"/>
        <v>Medium</v>
      </c>
      <c r="K78" s="6">
        <f t="shared" si="8"/>
        <v>0</v>
      </c>
    </row>
    <row r="79" spans="1:11" x14ac:dyDescent="0.3">
      <c r="A79" t="s">
        <v>85</v>
      </c>
      <c r="B79">
        <v>30.000001907348629</v>
      </c>
      <c r="C79">
        <v>60.000003814697273</v>
      </c>
      <c r="D79">
        <v>90</v>
      </c>
      <c r="E79" t="s">
        <v>85</v>
      </c>
      <c r="F79">
        <v>44.005870819091797</v>
      </c>
      <c r="G79">
        <v>37.790924072265618</v>
      </c>
      <c r="H79">
        <v>81.796798706054688</v>
      </c>
      <c r="I79" s="5" t="str">
        <f t="shared" si="6"/>
        <v>High</v>
      </c>
      <c r="J79" s="5" t="str">
        <f t="shared" si="7"/>
        <v>High</v>
      </c>
      <c r="K79" s="6">
        <f t="shared" si="8"/>
        <v>1</v>
      </c>
    </row>
    <row r="80" spans="1:11" x14ac:dyDescent="0.3">
      <c r="A80" t="s">
        <v>86</v>
      </c>
      <c r="B80">
        <v>30.000001907348629</v>
      </c>
      <c r="C80">
        <v>60.000003814697273</v>
      </c>
      <c r="D80">
        <v>90</v>
      </c>
      <c r="E80" t="s">
        <v>86</v>
      </c>
      <c r="F80">
        <v>32.069927215576172</v>
      </c>
      <c r="G80">
        <v>32.000156402587891</v>
      </c>
      <c r="H80">
        <v>64.070083618164063</v>
      </c>
      <c r="I80" s="5" t="str">
        <f t="shared" si="6"/>
        <v>High</v>
      </c>
      <c r="J80" s="5" t="str">
        <f t="shared" si="7"/>
        <v>Medium</v>
      </c>
      <c r="K80" s="6">
        <f t="shared" si="8"/>
        <v>1</v>
      </c>
    </row>
    <row r="81" spans="1:11" x14ac:dyDescent="0.3">
      <c r="A81" t="s">
        <v>87</v>
      </c>
      <c r="B81">
        <v>30.000001907348629</v>
      </c>
      <c r="C81">
        <v>60.000003814697273</v>
      </c>
      <c r="D81">
        <v>90</v>
      </c>
      <c r="E81" t="s">
        <v>87</v>
      </c>
      <c r="F81">
        <v>34.618221282958977</v>
      </c>
      <c r="G81">
        <v>44.59588623046875</v>
      </c>
      <c r="H81">
        <v>79.214111328125</v>
      </c>
      <c r="I81" s="5" t="str">
        <f t="shared" si="6"/>
        <v>High</v>
      </c>
      <c r="J81" s="5" t="str">
        <f t="shared" si="7"/>
        <v>High</v>
      </c>
      <c r="K81" s="6">
        <f t="shared" si="8"/>
        <v>1</v>
      </c>
    </row>
    <row r="82" spans="1:11" x14ac:dyDescent="0.3">
      <c r="A82" t="s">
        <v>88</v>
      </c>
      <c r="B82">
        <v>30.000001907348629</v>
      </c>
      <c r="C82">
        <v>60.000003814697273</v>
      </c>
      <c r="D82">
        <v>90</v>
      </c>
      <c r="E82" t="s">
        <v>88</v>
      </c>
      <c r="F82">
        <v>26.654445648193359</v>
      </c>
      <c r="G82">
        <v>35.093647003173828</v>
      </c>
      <c r="H82">
        <v>61.748092651367188</v>
      </c>
      <c r="I82" s="5" t="str">
        <f t="shared" si="6"/>
        <v>High</v>
      </c>
      <c r="J82" s="5" t="str">
        <f t="shared" si="7"/>
        <v>Medium</v>
      </c>
      <c r="K82" s="6">
        <f t="shared" si="8"/>
        <v>1</v>
      </c>
    </row>
    <row r="83" spans="1:11" x14ac:dyDescent="0.3">
      <c r="A83" t="s">
        <v>89</v>
      </c>
      <c r="B83">
        <v>90</v>
      </c>
      <c r="C83">
        <v>80</v>
      </c>
      <c r="D83">
        <v>170</v>
      </c>
      <c r="E83" t="s">
        <v>89</v>
      </c>
      <c r="F83">
        <v>32.70794677734375</v>
      </c>
      <c r="G83">
        <v>26.640171051025391</v>
      </c>
      <c r="H83">
        <v>59.348117828369141</v>
      </c>
      <c r="I83" s="5" t="str">
        <f t="shared" si="6"/>
        <v>High</v>
      </c>
      <c r="J83" s="5" t="str">
        <f t="shared" si="7"/>
        <v>Medium</v>
      </c>
      <c r="K83" s="6">
        <f t="shared" si="8"/>
        <v>0</v>
      </c>
    </row>
    <row r="84" spans="1:11" x14ac:dyDescent="0.3">
      <c r="A84" t="s">
        <v>90</v>
      </c>
      <c r="B84">
        <v>90</v>
      </c>
      <c r="C84">
        <v>80</v>
      </c>
      <c r="D84">
        <v>170</v>
      </c>
      <c r="E84" t="s">
        <v>90</v>
      </c>
      <c r="F84">
        <v>32.648414611816413</v>
      </c>
      <c r="G84">
        <v>24.292209625244141</v>
      </c>
      <c r="H84">
        <v>56.940628051757813</v>
      </c>
      <c r="I84" s="5" t="str">
        <f t="shared" si="6"/>
        <v>High</v>
      </c>
      <c r="J84" s="5" t="str">
        <f t="shared" si="7"/>
        <v>Medium</v>
      </c>
      <c r="K84" s="6">
        <f t="shared" si="8"/>
        <v>0</v>
      </c>
    </row>
    <row r="85" spans="1:11" x14ac:dyDescent="0.3">
      <c r="A85" t="s">
        <v>91</v>
      </c>
      <c r="B85">
        <v>90</v>
      </c>
      <c r="C85">
        <v>80</v>
      </c>
      <c r="D85">
        <v>170</v>
      </c>
      <c r="E85" t="s">
        <v>91</v>
      </c>
      <c r="F85">
        <v>34.114151000976563</v>
      </c>
      <c r="G85">
        <v>39.928783416748047</v>
      </c>
      <c r="H85">
        <v>74.042930603027344</v>
      </c>
      <c r="I85" s="5" t="str">
        <f t="shared" si="6"/>
        <v>High</v>
      </c>
      <c r="J85" s="5" t="str">
        <f t="shared" si="7"/>
        <v>High</v>
      </c>
      <c r="K85" s="6">
        <f t="shared" si="8"/>
        <v>0</v>
      </c>
    </row>
    <row r="86" spans="1:11" x14ac:dyDescent="0.3">
      <c r="A86" t="s">
        <v>92</v>
      </c>
      <c r="B86">
        <v>90</v>
      </c>
      <c r="C86">
        <v>80</v>
      </c>
      <c r="D86">
        <v>170</v>
      </c>
      <c r="E86" t="s">
        <v>92</v>
      </c>
      <c r="F86">
        <v>33.435482025146477</v>
      </c>
      <c r="G86">
        <v>29.880819320678711</v>
      </c>
      <c r="H86">
        <v>63.316299438476563</v>
      </c>
      <c r="I86" s="5" t="str">
        <f t="shared" si="6"/>
        <v>High</v>
      </c>
      <c r="J86" s="5" t="str">
        <f t="shared" si="7"/>
        <v>Medium</v>
      </c>
      <c r="K86" s="6">
        <f t="shared" si="8"/>
        <v>0</v>
      </c>
    </row>
    <row r="87" spans="1:11" x14ac:dyDescent="0.3">
      <c r="A87" t="s">
        <v>93</v>
      </c>
      <c r="B87">
        <v>90</v>
      </c>
      <c r="C87">
        <v>80</v>
      </c>
      <c r="D87">
        <v>170</v>
      </c>
      <c r="E87" t="s">
        <v>93</v>
      </c>
      <c r="F87">
        <v>42.579971313476563</v>
      </c>
      <c r="G87">
        <v>48.835750579833977</v>
      </c>
      <c r="H87">
        <v>91.415725708007813</v>
      </c>
      <c r="I87" s="5" t="str">
        <f t="shared" si="6"/>
        <v>High</v>
      </c>
      <c r="J87" s="5" t="str">
        <f t="shared" si="7"/>
        <v>High</v>
      </c>
      <c r="K87" s="6">
        <f t="shared" si="8"/>
        <v>0</v>
      </c>
    </row>
    <row r="88" spans="1:11" x14ac:dyDescent="0.3">
      <c r="A88" t="s">
        <v>94</v>
      </c>
      <c r="B88">
        <v>90</v>
      </c>
      <c r="C88">
        <v>80</v>
      </c>
      <c r="D88">
        <v>170</v>
      </c>
      <c r="E88" t="s">
        <v>94</v>
      </c>
      <c r="F88">
        <v>38.597030639648438</v>
      </c>
      <c r="G88">
        <v>41.525020599365227</v>
      </c>
      <c r="H88">
        <v>80.122055053710938</v>
      </c>
      <c r="I88" s="5" t="str">
        <f t="shared" si="6"/>
        <v>High</v>
      </c>
      <c r="J88" s="5" t="str">
        <f t="shared" si="7"/>
        <v>High</v>
      </c>
      <c r="K88" s="6">
        <f t="shared" si="8"/>
        <v>0</v>
      </c>
    </row>
    <row r="89" spans="1:11" x14ac:dyDescent="0.3">
      <c r="A89" t="s">
        <v>95</v>
      </c>
      <c r="B89">
        <v>30.000001907348629</v>
      </c>
      <c r="C89">
        <v>70</v>
      </c>
      <c r="D89">
        <v>100</v>
      </c>
      <c r="E89" t="s">
        <v>95</v>
      </c>
      <c r="F89">
        <v>36.176345825195313</v>
      </c>
      <c r="G89">
        <v>43.840015411376953</v>
      </c>
      <c r="H89">
        <v>80.016365051269531</v>
      </c>
      <c r="I89" s="5" t="str">
        <f t="shared" si="6"/>
        <v>High</v>
      </c>
      <c r="J89" s="5" t="str">
        <f t="shared" si="7"/>
        <v>High</v>
      </c>
      <c r="K89" s="6">
        <f t="shared" si="8"/>
        <v>1</v>
      </c>
    </row>
    <row r="90" spans="1:11" x14ac:dyDescent="0.3">
      <c r="A90" t="s">
        <v>96</v>
      </c>
      <c r="B90">
        <v>30.000001907348629</v>
      </c>
      <c r="C90">
        <v>70</v>
      </c>
      <c r="D90">
        <v>100</v>
      </c>
      <c r="E90" t="s">
        <v>96</v>
      </c>
      <c r="F90">
        <v>32.94171142578125</v>
      </c>
      <c r="G90">
        <v>42.1005859375</v>
      </c>
      <c r="H90">
        <v>75.04229736328125</v>
      </c>
      <c r="I90" s="5" t="str">
        <f t="shared" si="6"/>
        <v>High</v>
      </c>
      <c r="J90" s="5" t="str">
        <f t="shared" si="7"/>
        <v>High</v>
      </c>
      <c r="K90" s="6">
        <f t="shared" si="8"/>
        <v>1</v>
      </c>
    </row>
    <row r="91" spans="1:11" x14ac:dyDescent="0.3">
      <c r="A91" t="s">
        <v>97</v>
      </c>
      <c r="B91">
        <v>30.000001907348629</v>
      </c>
      <c r="C91">
        <v>70</v>
      </c>
      <c r="D91">
        <v>100</v>
      </c>
      <c r="E91" t="s">
        <v>97</v>
      </c>
      <c r="F91">
        <v>38.67645263671875</v>
      </c>
      <c r="G91">
        <v>43.728084564208977</v>
      </c>
      <c r="H91">
        <v>82.404533386230469</v>
      </c>
      <c r="I91" s="5" t="str">
        <f t="shared" si="6"/>
        <v>High</v>
      </c>
      <c r="J91" s="5" t="str">
        <f t="shared" si="7"/>
        <v>High</v>
      </c>
      <c r="K91" s="6">
        <f t="shared" si="8"/>
        <v>1</v>
      </c>
    </row>
    <row r="92" spans="1:11" x14ac:dyDescent="0.3">
      <c r="A92" t="s">
        <v>98</v>
      </c>
      <c r="B92">
        <v>30.000001907348629</v>
      </c>
      <c r="C92">
        <v>70</v>
      </c>
      <c r="D92">
        <v>100</v>
      </c>
      <c r="E92" t="s">
        <v>98</v>
      </c>
      <c r="F92">
        <v>35.105716705322273</v>
      </c>
      <c r="G92">
        <v>38.174953460693359</v>
      </c>
      <c r="H92">
        <v>73.280670166015625</v>
      </c>
      <c r="I92" s="5" t="str">
        <f t="shared" si="6"/>
        <v>High</v>
      </c>
      <c r="J92" s="5" t="str">
        <f t="shared" si="7"/>
        <v>High</v>
      </c>
      <c r="K92" s="6">
        <f t="shared" si="8"/>
        <v>1</v>
      </c>
    </row>
    <row r="93" spans="1:11" x14ac:dyDescent="0.3">
      <c r="A93" t="s">
        <v>99</v>
      </c>
      <c r="B93">
        <v>30.000001907348629</v>
      </c>
      <c r="C93">
        <v>70</v>
      </c>
      <c r="D93">
        <v>100</v>
      </c>
      <c r="E93" t="s">
        <v>99</v>
      </c>
      <c r="F93">
        <v>33.104488372802727</v>
      </c>
      <c r="G93">
        <v>35.218154907226563</v>
      </c>
      <c r="H93">
        <v>68.322647094726563</v>
      </c>
      <c r="I93" s="5" t="str">
        <f t="shared" si="6"/>
        <v>High</v>
      </c>
      <c r="J93" s="5" t="str">
        <f t="shared" si="7"/>
        <v>Medium</v>
      </c>
      <c r="K93" s="6">
        <f t="shared" si="8"/>
        <v>0</v>
      </c>
    </row>
    <row r="94" spans="1:11" x14ac:dyDescent="0.3">
      <c r="A94" t="s">
        <v>100</v>
      </c>
      <c r="B94">
        <v>30.000001907348629</v>
      </c>
      <c r="C94">
        <v>70</v>
      </c>
      <c r="D94">
        <v>100</v>
      </c>
      <c r="E94" t="s">
        <v>100</v>
      </c>
      <c r="F94">
        <v>35.549755096435547</v>
      </c>
      <c r="G94">
        <v>36.29302978515625</v>
      </c>
      <c r="H94">
        <v>71.842781066894531</v>
      </c>
      <c r="I94" s="5" t="str">
        <f t="shared" si="6"/>
        <v>High</v>
      </c>
      <c r="J94" s="5" t="str">
        <f t="shared" si="7"/>
        <v>High</v>
      </c>
      <c r="K94" s="6">
        <f t="shared" si="8"/>
        <v>1</v>
      </c>
    </row>
    <row r="95" spans="1:11" x14ac:dyDescent="0.3">
      <c r="A95" t="s">
        <v>101</v>
      </c>
      <c r="B95">
        <v>20</v>
      </c>
      <c r="C95">
        <v>40</v>
      </c>
      <c r="D95">
        <v>60.000003814697273</v>
      </c>
      <c r="E95" t="s">
        <v>101</v>
      </c>
      <c r="F95">
        <v>37.360389709472663</v>
      </c>
      <c r="G95">
        <v>36.183349609375</v>
      </c>
      <c r="H95">
        <v>73.543739318847656</v>
      </c>
      <c r="I95" s="5" t="str">
        <f t="shared" si="6"/>
        <v>Medium</v>
      </c>
      <c r="J95" s="5" t="str">
        <f t="shared" si="7"/>
        <v>High</v>
      </c>
      <c r="K95" s="6">
        <f t="shared" si="8"/>
        <v>1</v>
      </c>
    </row>
    <row r="96" spans="1:11" x14ac:dyDescent="0.3">
      <c r="A96" t="s">
        <v>102</v>
      </c>
      <c r="B96">
        <v>20</v>
      </c>
      <c r="C96">
        <v>40</v>
      </c>
      <c r="D96">
        <v>60.000003814697273</v>
      </c>
      <c r="E96" t="s">
        <v>102</v>
      </c>
      <c r="F96">
        <v>38.954776763916023</v>
      </c>
      <c r="G96">
        <v>44.339580535888672</v>
      </c>
      <c r="H96">
        <v>83.294357299804688</v>
      </c>
      <c r="I96" s="5" t="str">
        <f t="shared" si="6"/>
        <v>Medium</v>
      </c>
      <c r="J96" s="5" t="str">
        <f t="shared" si="7"/>
        <v>High</v>
      </c>
      <c r="K96" s="6">
        <f t="shared" si="8"/>
        <v>1</v>
      </c>
    </row>
    <row r="97" spans="1:11" x14ac:dyDescent="0.3">
      <c r="A97" t="s">
        <v>103</v>
      </c>
      <c r="B97">
        <v>20</v>
      </c>
      <c r="C97">
        <v>40</v>
      </c>
      <c r="D97">
        <v>60.000003814697273</v>
      </c>
      <c r="E97" t="s">
        <v>103</v>
      </c>
      <c r="F97">
        <v>35.043567657470703</v>
      </c>
      <c r="G97">
        <v>41.497184753417969</v>
      </c>
      <c r="H97">
        <v>76.540756225585938</v>
      </c>
      <c r="I97" s="5" t="str">
        <f t="shared" si="6"/>
        <v>Medium</v>
      </c>
      <c r="J97" s="5" t="str">
        <f t="shared" si="7"/>
        <v>High</v>
      </c>
      <c r="K97" s="6">
        <f t="shared" si="8"/>
        <v>1</v>
      </c>
    </row>
    <row r="98" spans="1:11" x14ac:dyDescent="0.3">
      <c r="A98" t="s">
        <v>104</v>
      </c>
      <c r="B98">
        <v>20</v>
      </c>
      <c r="C98">
        <v>40</v>
      </c>
      <c r="D98">
        <v>60.000003814697273</v>
      </c>
      <c r="E98" t="s">
        <v>104</v>
      </c>
      <c r="F98">
        <v>28.82305908203125</v>
      </c>
      <c r="G98">
        <v>30.307453155517582</v>
      </c>
      <c r="H98">
        <v>59.130512237548828</v>
      </c>
      <c r="I98" s="5" t="str">
        <f t="shared" si="6"/>
        <v>Medium</v>
      </c>
      <c r="J98" s="5" t="str">
        <f t="shared" si="7"/>
        <v>Medium</v>
      </c>
      <c r="K98" s="6">
        <f t="shared" si="8"/>
        <v>1</v>
      </c>
    </row>
    <row r="99" spans="1:11" x14ac:dyDescent="0.3">
      <c r="A99" t="s">
        <v>105</v>
      </c>
      <c r="B99">
        <v>20</v>
      </c>
      <c r="C99">
        <v>40</v>
      </c>
      <c r="D99">
        <v>60.000003814697273</v>
      </c>
      <c r="E99" t="s">
        <v>105</v>
      </c>
      <c r="F99">
        <v>32.221759796142578</v>
      </c>
      <c r="G99">
        <v>35.437664031982422</v>
      </c>
      <c r="H99">
        <v>67.659423828125</v>
      </c>
      <c r="I99" s="5" t="str">
        <f t="shared" si="6"/>
        <v>Medium</v>
      </c>
      <c r="J99" s="5" t="str">
        <f t="shared" si="7"/>
        <v>Medium</v>
      </c>
      <c r="K99" s="6">
        <f t="shared" si="8"/>
        <v>1</v>
      </c>
    </row>
    <row r="100" spans="1:11" x14ac:dyDescent="0.3">
      <c r="A100" t="s">
        <v>106</v>
      </c>
      <c r="B100">
        <v>20</v>
      </c>
      <c r="C100">
        <v>40</v>
      </c>
      <c r="D100">
        <v>60.000003814697273</v>
      </c>
      <c r="E100" t="s">
        <v>106</v>
      </c>
      <c r="F100">
        <v>30.8201904296875</v>
      </c>
      <c r="G100">
        <v>38.310653686523438</v>
      </c>
      <c r="H100">
        <v>69.130844116210938</v>
      </c>
      <c r="I100" s="5" t="str">
        <f t="shared" si="6"/>
        <v>Medium</v>
      </c>
      <c r="J100" s="5" t="str">
        <f t="shared" si="7"/>
        <v>High</v>
      </c>
      <c r="K100" s="6">
        <f t="shared" si="8"/>
        <v>1</v>
      </c>
    </row>
    <row r="101" spans="1:11" x14ac:dyDescent="0.3">
      <c r="A101" t="s">
        <v>107</v>
      </c>
      <c r="B101">
        <v>80</v>
      </c>
      <c r="C101">
        <v>60.000003814697273</v>
      </c>
      <c r="D101">
        <v>140.00001525878909</v>
      </c>
      <c r="E101" t="s">
        <v>107</v>
      </c>
      <c r="F101">
        <v>28.601507186889648</v>
      </c>
      <c r="G101">
        <v>32.907997131347663</v>
      </c>
      <c r="H101">
        <v>61.509502410888672</v>
      </c>
      <c r="I101" s="5" t="str">
        <f t="shared" si="6"/>
        <v>High</v>
      </c>
      <c r="J101" s="5" t="str">
        <f t="shared" si="7"/>
        <v>Medium</v>
      </c>
      <c r="K101" s="6">
        <f t="shared" si="8"/>
        <v>0</v>
      </c>
    </row>
    <row r="102" spans="1:11" x14ac:dyDescent="0.3">
      <c r="A102" t="s">
        <v>108</v>
      </c>
      <c r="B102">
        <v>80</v>
      </c>
      <c r="C102">
        <v>60.000003814697273</v>
      </c>
      <c r="D102">
        <v>140.00001525878909</v>
      </c>
      <c r="E102" t="s">
        <v>108</v>
      </c>
      <c r="F102">
        <v>26.114255905151371</v>
      </c>
      <c r="G102">
        <v>33.165580749511719</v>
      </c>
      <c r="H102">
        <v>59.279834747314453</v>
      </c>
      <c r="I102" s="5" t="str">
        <f t="shared" si="6"/>
        <v>High</v>
      </c>
      <c r="J102" s="5" t="str">
        <f t="shared" si="7"/>
        <v>Medium</v>
      </c>
      <c r="K102" s="6">
        <f t="shared" si="8"/>
        <v>0</v>
      </c>
    </row>
    <row r="103" spans="1:11" x14ac:dyDescent="0.3">
      <c r="A103" t="s">
        <v>109</v>
      </c>
      <c r="B103">
        <v>80</v>
      </c>
      <c r="C103">
        <v>60.000003814697273</v>
      </c>
      <c r="D103">
        <v>140.00001525878909</v>
      </c>
      <c r="E103" t="s">
        <v>109</v>
      </c>
      <c r="F103">
        <v>29.40894889831543</v>
      </c>
      <c r="G103">
        <v>40.539447784423828</v>
      </c>
      <c r="H103">
        <v>69.948402404785156</v>
      </c>
      <c r="I103" s="5" t="str">
        <f t="shared" si="6"/>
        <v>High</v>
      </c>
      <c r="J103" s="5" t="str">
        <f t="shared" si="7"/>
        <v>High</v>
      </c>
      <c r="K103" s="6">
        <f t="shared" si="8"/>
        <v>0</v>
      </c>
    </row>
    <row r="104" spans="1:11" x14ac:dyDescent="0.3">
      <c r="A104" t="s">
        <v>110</v>
      </c>
      <c r="B104">
        <v>80</v>
      </c>
      <c r="C104">
        <v>60.000003814697273</v>
      </c>
      <c r="D104">
        <v>140.00001525878909</v>
      </c>
      <c r="E104" t="s">
        <v>110</v>
      </c>
      <c r="F104">
        <v>36.697685241699219</v>
      </c>
      <c r="G104">
        <v>43.429973602294922</v>
      </c>
      <c r="H104">
        <v>80.127655029296875</v>
      </c>
      <c r="I104" s="5" t="str">
        <f t="shared" si="6"/>
        <v>High</v>
      </c>
      <c r="J104" s="5" t="str">
        <f t="shared" si="7"/>
        <v>High</v>
      </c>
      <c r="K104" s="6">
        <f t="shared" si="8"/>
        <v>0</v>
      </c>
    </row>
    <row r="105" spans="1:11" x14ac:dyDescent="0.3">
      <c r="A105" t="s">
        <v>111</v>
      </c>
      <c r="B105">
        <v>80</v>
      </c>
      <c r="C105">
        <v>60.000003814697273</v>
      </c>
      <c r="D105">
        <v>140.00001525878909</v>
      </c>
      <c r="E105" t="s">
        <v>111</v>
      </c>
      <c r="F105">
        <v>39.877544403076172</v>
      </c>
      <c r="G105">
        <v>46.627178192138672</v>
      </c>
      <c r="H105">
        <v>86.504722595214844</v>
      </c>
      <c r="I105" s="5" t="str">
        <f t="shared" si="6"/>
        <v>High</v>
      </c>
      <c r="J105" s="5" t="str">
        <f t="shared" si="7"/>
        <v>High</v>
      </c>
      <c r="K105" s="6">
        <f t="shared" si="8"/>
        <v>0</v>
      </c>
    </row>
    <row r="106" spans="1:11" x14ac:dyDescent="0.3">
      <c r="A106" t="s">
        <v>112</v>
      </c>
      <c r="B106">
        <v>80</v>
      </c>
      <c r="C106">
        <v>60.000003814697273</v>
      </c>
      <c r="D106">
        <v>140.00001525878909</v>
      </c>
      <c r="E106" t="s">
        <v>112</v>
      </c>
      <c r="F106">
        <v>41.162445068359382</v>
      </c>
      <c r="G106">
        <v>44.692768096923828</v>
      </c>
      <c r="H106">
        <v>85.855209350585938</v>
      </c>
      <c r="I106" s="5" t="str">
        <f t="shared" si="6"/>
        <v>High</v>
      </c>
      <c r="J106" s="5" t="str">
        <f t="shared" si="7"/>
        <v>High</v>
      </c>
      <c r="K106" s="6">
        <f t="shared" si="8"/>
        <v>0</v>
      </c>
    </row>
    <row r="107" spans="1:11" x14ac:dyDescent="0.3">
      <c r="A107" t="s">
        <v>113</v>
      </c>
      <c r="B107">
        <v>90</v>
      </c>
      <c r="C107">
        <v>90</v>
      </c>
      <c r="D107">
        <v>180</v>
      </c>
      <c r="E107" t="s">
        <v>113</v>
      </c>
      <c r="F107">
        <v>34.889293670654297</v>
      </c>
      <c r="G107">
        <v>43.904994964599609</v>
      </c>
      <c r="H107">
        <v>78.794288635253906</v>
      </c>
      <c r="I107" s="5" t="str">
        <f t="shared" si="6"/>
        <v>High</v>
      </c>
      <c r="J107" s="5" t="str">
        <f t="shared" si="7"/>
        <v>High</v>
      </c>
      <c r="K107" s="6">
        <f t="shared" si="8"/>
        <v>0</v>
      </c>
    </row>
    <row r="108" spans="1:11" x14ac:dyDescent="0.3">
      <c r="A108" t="s">
        <v>114</v>
      </c>
      <c r="B108">
        <v>90</v>
      </c>
      <c r="C108">
        <v>90</v>
      </c>
      <c r="D108">
        <v>180</v>
      </c>
      <c r="E108" t="s">
        <v>114</v>
      </c>
      <c r="F108">
        <v>43.763420104980469</v>
      </c>
      <c r="G108">
        <v>47.043357849121087</v>
      </c>
      <c r="H108">
        <v>90.806785583496094</v>
      </c>
      <c r="I108" s="5" t="str">
        <f t="shared" si="6"/>
        <v>High</v>
      </c>
      <c r="J108" s="5" t="str">
        <f t="shared" si="7"/>
        <v>High</v>
      </c>
      <c r="K108" s="6">
        <f t="shared" si="8"/>
        <v>0</v>
      </c>
    </row>
    <row r="109" spans="1:11" x14ac:dyDescent="0.3">
      <c r="A109" t="s">
        <v>115</v>
      </c>
      <c r="B109">
        <v>90</v>
      </c>
      <c r="C109">
        <v>90</v>
      </c>
      <c r="D109">
        <v>180</v>
      </c>
      <c r="E109" t="s">
        <v>115</v>
      </c>
      <c r="F109">
        <v>40.839992523193359</v>
      </c>
      <c r="G109">
        <v>46.269222259521477</v>
      </c>
      <c r="H109">
        <v>87.109222412109375</v>
      </c>
      <c r="I109" s="5" t="str">
        <f t="shared" si="6"/>
        <v>High</v>
      </c>
      <c r="J109" s="5" t="str">
        <f t="shared" si="7"/>
        <v>High</v>
      </c>
      <c r="K109" s="6">
        <f t="shared" si="8"/>
        <v>0</v>
      </c>
    </row>
    <row r="110" spans="1:11" x14ac:dyDescent="0.3">
      <c r="A110" t="s">
        <v>116</v>
      </c>
      <c r="B110">
        <v>90</v>
      </c>
      <c r="C110">
        <v>90</v>
      </c>
      <c r="D110">
        <v>180</v>
      </c>
      <c r="E110" t="s">
        <v>116</v>
      </c>
      <c r="F110">
        <v>34.079948425292969</v>
      </c>
      <c r="G110">
        <v>32.957130432128913</v>
      </c>
      <c r="H110">
        <v>67.037078857421875</v>
      </c>
      <c r="I110" s="5" t="str">
        <f t="shared" si="6"/>
        <v>High</v>
      </c>
      <c r="J110" s="5" t="str">
        <f t="shared" si="7"/>
        <v>Medium</v>
      </c>
      <c r="K110" s="6">
        <f t="shared" si="8"/>
        <v>0</v>
      </c>
    </row>
    <row r="111" spans="1:11" x14ac:dyDescent="0.3">
      <c r="A111" t="s">
        <v>117</v>
      </c>
      <c r="B111">
        <v>90</v>
      </c>
      <c r="C111">
        <v>90</v>
      </c>
      <c r="D111">
        <v>180</v>
      </c>
      <c r="E111" t="s">
        <v>117</v>
      </c>
      <c r="F111">
        <v>41.535205841064453</v>
      </c>
      <c r="G111">
        <v>39.660133361816413</v>
      </c>
      <c r="H111">
        <v>81.195343017578125</v>
      </c>
      <c r="I111" s="5" t="str">
        <f t="shared" si="6"/>
        <v>High</v>
      </c>
      <c r="J111" s="5" t="str">
        <f t="shared" si="7"/>
        <v>High</v>
      </c>
      <c r="K111" s="6">
        <f t="shared" si="8"/>
        <v>0</v>
      </c>
    </row>
    <row r="112" spans="1:11" x14ac:dyDescent="0.3">
      <c r="A112" t="s">
        <v>118</v>
      </c>
      <c r="B112">
        <v>90</v>
      </c>
      <c r="C112">
        <v>90</v>
      </c>
      <c r="D112">
        <v>180</v>
      </c>
      <c r="E112" t="s">
        <v>118</v>
      </c>
      <c r="F112">
        <v>36.701728820800781</v>
      </c>
      <c r="G112">
        <v>39.287139892578118</v>
      </c>
      <c r="H112">
        <v>75.988861083984375</v>
      </c>
      <c r="I112" s="5" t="str">
        <f t="shared" si="6"/>
        <v>High</v>
      </c>
      <c r="J112" s="5" t="str">
        <f t="shared" si="7"/>
        <v>High</v>
      </c>
      <c r="K112" s="6">
        <f t="shared" si="8"/>
        <v>0</v>
      </c>
    </row>
    <row r="113" spans="1:11" x14ac:dyDescent="0.3">
      <c r="A113" t="s">
        <v>119</v>
      </c>
      <c r="B113">
        <v>30.000001907348629</v>
      </c>
      <c r="C113">
        <v>70</v>
      </c>
      <c r="D113">
        <v>100</v>
      </c>
      <c r="E113" t="s">
        <v>119</v>
      </c>
      <c r="F113">
        <v>37.796375274658203</v>
      </c>
      <c r="G113">
        <v>42.425685882568359</v>
      </c>
      <c r="H113">
        <v>80.222061157226563</v>
      </c>
      <c r="I113" s="5" t="str">
        <f t="shared" si="6"/>
        <v>High</v>
      </c>
      <c r="J113" s="5" t="str">
        <f t="shared" si="7"/>
        <v>High</v>
      </c>
      <c r="K113" s="6">
        <f t="shared" si="8"/>
        <v>1</v>
      </c>
    </row>
    <row r="114" spans="1:11" x14ac:dyDescent="0.3">
      <c r="A114" t="s">
        <v>120</v>
      </c>
      <c r="B114">
        <v>30.000001907348629</v>
      </c>
      <c r="C114">
        <v>70</v>
      </c>
      <c r="D114">
        <v>100</v>
      </c>
      <c r="E114" t="s">
        <v>120</v>
      </c>
      <c r="F114">
        <v>37.386123657226563</v>
      </c>
      <c r="G114">
        <v>38.621788024902337</v>
      </c>
      <c r="H114">
        <v>76.007911682128906</v>
      </c>
      <c r="I114" s="5" t="str">
        <f t="shared" si="6"/>
        <v>High</v>
      </c>
      <c r="J114" s="5" t="str">
        <f t="shared" si="7"/>
        <v>High</v>
      </c>
      <c r="K114" s="6">
        <f t="shared" si="8"/>
        <v>1</v>
      </c>
    </row>
    <row r="115" spans="1:11" x14ac:dyDescent="0.3">
      <c r="A115" t="s">
        <v>121</v>
      </c>
      <c r="B115">
        <v>30.000001907348629</v>
      </c>
      <c r="C115">
        <v>70</v>
      </c>
      <c r="D115">
        <v>100</v>
      </c>
      <c r="E115" t="s">
        <v>121</v>
      </c>
      <c r="F115">
        <v>34.209323883056641</v>
      </c>
      <c r="G115">
        <v>38.772834777832031</v>
      </c>
      <c r="H115">
        <v>72.982154846191406</v>
      </c>
      <c r="I115" s="5" t="str">
        <f t="shared" si="6"/>
        <v>High</v>
      </c>
      <c r="J115" s="5" t="str">
        <f t="shared" si="7"/>
        <v>High</v>
      </c>
      <c r="K115" s="6">
        <f t="shared" si="8"/>
        <v>1</v>
      </c>
    </row>
    <row r="116" spans="1:11" x14ac:dyDescent="0.3">
      <c r="A116" t="s">
        <v>122</v>
      </c>
      <c r="B116">
        <v>30.000001907348629</v>
      </c>
      <c r="C116">
        <v>70</v>
      </c>
      <c r="D116">
        <v>100</v>
      </c>
      <c r="E116" t="s">
        <v>122</v>
      </c>
      <c r="F116">
        <v>33.711357116699219</v>
      </c>
      <c r="G116">
        <v>39.816497802734382</v>
      </c>
      <c r="H116">
        <v>73.527854919433594</v>
      </c>
      <c r="I116" s="5" t="str">
        <f t="shared" si="6"/>
        <v>High</v>
      </c>
      <c r="J116" s="5" t="str">
        <f t="shared" si="7"/>
        <v>High</v>
      </c>
      <c r="K116" s="6">
        <f t="shared" si="8"/>
        <v>1</v>
      </c>
    </row>
    <row r="117" spans="1:11" x14ac:dyDescent="0.3">
      <c r="A117" t="s">
        <v>123</v>
      </c>
      <c r="B117">
        <v>30.000001907348629</v>
      </c>
      <c r="C117">
        <v>70</v>
      </c>
      <c r="D117">
        <v>100</v>
      </c>
      <c r="E117" t="s">
        <v>123</v>
      </c>
      <c r="F117">
        <v>34.008441925048828</v>
      </c>
      <c r="G117">
        <v>42.834819793701172</v>
      </c>
      <c r="H117">
        <v>76.84326171875</v>
      </c>
      <c r="I117" s="5" t="str">
        <f t="shared" si="6"/>
        <v>High</v>
      </c>
      <c r="J117" s="5" t="str">
        <f t="shared" si="7"/>
        <v>High</v>
      </c>
      <c r="K117" s="6">
        <f t="shared" si="8"/>
        <v>1</v>
      </c>
    </row>
    <row r="118" spans="1:11" x14ac:dyDescent="0.3">
      <c r="A118" t="s">
        <v>124</v>
      </c>
      <c r="B118">
        <v>30.000001907348629</v>
      </c>
      <c r="C118">
        <v>70</v>
      </c>
      <c r="D118">
        <v>100</v>
      </c>
      <c r="E118" t="s">
        <v>124</v>
      </c>
      <c r="F118">
        <v>32.072864532470703</v>
      </c>
      <c r="G118">
        <v>38.478847503662109</v>
      </c>
      <c r="H118">
        <v>70.551719665527344</v>
      </c>
      <c r="I118" s="5" t="str">
        <f t="shared" si="6"/>
        <v>High</v>
      </c>
      <c r="J118" s="5" t="str">
        <f t="shared" si="7"/>
        <v>High</v>
      </c>
      <c r="K118" s="6">
        <f t="shared" si="8"/>
        <v>1</v>
      </c>
    </row>
    <row r="119" spans="1:11" x14ac:dyDescent="0.3">
      <c r="A119" t="s">
        <v>125</v>
      </c>
      <c r="B119">
        <v>60.000003814697273</v>
      </c>
      <c r="C119">
        <v>70</v>
      </c>
      <c r="D119">
        <v>130</v>
      </c>
      <c r="E119" t="s">
        <v>125</v>
      </c>
      <c r="F119">
        <v>33.622493743896477</v>
      </c>
      <c r="G119">
        <v>38.858905792236328</v>
      </c>
      <c r="H119">
        <v>72.481399536132813</v>
      </c>
      <c r="I119" s="5" t="str">
        <f t="shared" si="6"/>
        <v>High</v>
      </c>
      <c r="J119" s="5" t="str">
        <f t="shared" si="7"/>
        <v>High</v>
      </c>
      <c r="K119" s="6">
        <f t="shared" si="8"/>
        <v>0</v>
      </c>
    </row>
    <row r="120" spans="1:11" x14ac:dyDescent="0.3">
      <c r="A120" t="s">
        <v>126</v>
      </c>
      <c r="B120">
        <v>60.000003814697273</v>
      </c>
      <c r="C120">
        <v>70</v>
      </c>
      <c r="D120">
        <v>130</v>
      </c>
      <c r="E120" t="s">
        <v>126</v>
      </c>
      <c r="F120">
        <v>31.80570030212402</v>
      </c>
      <c r="G120">
        <v>40.248424530029297</v>
      </c>
      <c r="H120">
        <v>72.054122924804688</v>
      </c>
      <c r="I120" s="5" t="str">
        <f t="shared" si="6"/>
        <v>High</v>
      </c>
      <c r="J120" s="5" t="str">
        <f t="shared" si="7"/>
        <v>High</v>
      </c>
      <c r="K120" s="6">
        <f t="shared" si="8"/>
        <v>0</v>
      </c>
    </row>
    <row r="121" spans="1:11" x14ac:dyDescent="0.3">
      <c r="A121" t="s">
        <v>127</v>
      </c>
      <c r="B121">
        <v>60.000003814697273</v>
      </c>
      <c r="C121">
        <v>70</v>
      </c>
      <c r="D121">
        <v>130</v>
      </c>
      <c r="E121" t="s">
        <v>127</v>
      </c>
      <c r="F121">
        <v>34.069908142089837</v>
      </c>
      <c r="G121">
        <v>40.0762939453125</v>
      </c>
      <c r="H121">
        <v>74.146202087402344</v>
      </c>
      <c r="I121" s="5" t="str">
        <f t="shared" si="6"/>
        <v>High</v>
      </c>
      <c r="J121" s="5" t="str">
        <f t="shared" si="7"/>
        <v>High</v>
      </c>
      <c r="K121" s="6">
        <f t="shared" si="8"/>
        <v>0</v>
      </c>
    </row>
    <row r="122" spans="1:11" x14ac:dyDescent="0.3">
      <c r="A122" t="s">
        <v>128</v>
      </c>
      <c r="B122">
        <v>60.000003814697273</v>
      </c>
      <c r="C122">
        <v>70</v>
      </c>
      <c r="D122">
        <v>130</v>
      </c>
      <c r="E122" t="s">
        <v>128</v>
      </c>
      <c r="F122">
        <v>31.814920425415039</v>
      </c>
      <c r="G122">
        <v>38.50701904296875</v>
      </c>
      <c r="H122">
        <v>70.321945190429688</v>
      </c>
      <c r="I122" s="5" t="str">
        <f t="shared" si="6"/>
        <v>High</v>
      </c>
      <c r="J122" s="5" t="str">
        <f t="shared" si="7"/>
        <v>High</v>
      </c>
      <c r="K122" s="6">
        <f t="shared" si="8"/>
        <v>0</v>
      </c>
    </row>
    <row r="123" spans="1:11" x14ac:dyDescent="0.3">
      <c r="A123" t="s">
        <v>129</v>
      </c>
      <c r="B123">
        <v>60.000003814697273</v>
      </c>
      <c r="C123">
        <v>70</v>
      </c>
      <c r="D123">
        <v>130</v>
      </c>
      <c r="E123" t="s">
        <v>129</v>
      </c>
      <c r="F123">
        <v>27.495151519775391</v>
      </c>
      <c r="G123">
        <v>30.880826950073239</v>
      </c>
      <c r="H123">
        <v>58.3759765625</v>
      </c>
      <c r="I123" s="5" t="str">
        <f t="shared" si="6"/>
        <v>High</v>
      </c>
      <c r="J123" s="5" t="str">
        <f t="shared" si="7"/>
        <v>Medium</v>
      </c>
      <c r="K123" s="6">
        <f t="shared" si="8"/>
        <v>0</v>
      </c>
    </row>
    <row r="124" spans="1:11" x14ac:dyDescent="0.3">
      <c r="A124" t="s">
        <v>130</v>
      </c>
      <c r="B124">
        <v>60.000003814697273</v>
      </c>
      <c r="C124">
        <v>70</v>
      </c>
      <c r="D124">
        <v>130</v>
      </c>
      <c r="E124" t="s">
        <v>130</v>
      </c>
      <c r="F124">
        <v>29.464763641357418</v>
      </c>
      <c r="G124">
        <v>37.290840148925781</v>
      </c>
      <c r="H124">
        <v>66.755607604980469</v>
      </c>
      <c r="I124" s="5" t="str">
        <f t="shared" si="6"/>
        <v>High</v>
      </c>
      <c r="J124" s="5" t="str">
        <f t="shared" si="7"/>
        <v>Medium</v>
      </c>
      <c r="K124" s="6">
        <f t="shared" si="8"/>
        <v>0</v>
      </c>
    </row>
    <row r="125" spans="1:11" x14ac:dyDescent="0.3">
      <c r="A125" t="s">
        <v>131</v>
      </c>
      <c r="B125">
        <v>10</v>
      </c>
      <c r="C125">
        <v>20</v>
      </c>
      <c r="D125">
        <v>30.000001907348629</v>
      </c>
      <c r="E125" t="s">
        <v>131</v>
      </c>
      <c r="F125">
        <v>30.245292663574219</v>
      </c>
      <c r="G125">
        <v>38.146728515625</v>
      </c>
      <c r="H125">
        <v>68.392021179199219</v>
      </c>
      <c r="I125" s="5" t="str">
        <f t="shared" si="6"/>
        <v>Low</v>
      </c>
      <c r="J125" s="5" t="str">
        <f t="shared" si="7"/>
        <v>Medium</v>
      </c>
      <c r="K125" s="6">
        <f t="shared" si="8"/>
        <v>0</v>
      </c>
    </row>
    <row r="126" spans="1:11" x14ac:dyDescent="0.3">
      <c r="A126" t="s">
        <v>132</v>
      </c>
      <c r="B126">
        <v>10</v>
      </c>
      <c r="C126">
        <v>20</v>
      </c>
      <c r="D126">
        <v>30.000001907348629</v>
      </c>
      <c r="E126" t="s">
        <v>132</v>
      </c>
      <c r="F126">
        <v>34.456600189208977</v>
      </c>
      <c r="G126">
        <v>40.949928283691413</v>
      </c>
      <c r="H126">
        <v>75.406524658203125</v>
      </c>
      <c r="I126" s="5" t="str">
        <f t="shared" si="6"/>
        <v>Low</v>
      </c>
      <c r="J126" s="5" t="str">
        <f t="shared" si="7"/>
        <v>High</v>
      </c>
      <c r="K126" s="6">
        <f t="shared" si="8"/>
        <v>0</v>
      </c>
    </row>
    <row r="127" spans="1:11" x14ac:dyDescent="0.3">
      <c r="A127" t="s">
        <v>133</v>
      </c>
      <c r="B127">
        <v>10</v>
      </c>
      <c r="C127">
        <v>20</v>
      </c>
      <c r="D127">
        <v>30.000001907348629</v>
      </c>
      <c r="E127" t="s">
        <v>133</v>
      </c>
      <c r="F127">
        <v>26.99043083190918</v>
      </c>
      <c r="G127">
        <v>36.466396331787109</v>
      </c>
      <c r="H127">
        <v>63.456829071044922</v>
      </c>
      <c r="I127" s="5" t="str">
        <f t="shared" si="6"/>
        <v>Low</v>
      </c>
      <c r="J127" s="5" t="str">
        <f t="shared" si="7"/>
        <v>Medium</v>
      </c>
      <c r="K127" s="6">
        <f t="shared" si="8"/>
        <v>0</v>
      </c>
    </row>
    <row r="128" spans="1:11" x14ac:dyDescent="0.3">
      <c r="A128" t="s">
        <v>134</v>
      </c>
      <c r="B128">
        <v>10</v>
      </c>
      <c r="C128">
        <v>20</v>
      </c>
      <c r="D128">
        <v>30.000001907348629</v>
      </c>
      <c r="E128" t="s">
        <v>134</v>
      </c>
      <c r="F128">
        <v>34.166206359863281</v>
      </c>
      <c r="G128">
        <v>35.112022399902337</v>
      </c>
      <c r="H128">
        <v>69.278228759765625</v>
      </c>
      <c r="I128" s="5" t="str">
        <f t="shared" si="6"/>
        <v>Low</v>
      </c>
      <c r="J128" s="5" t="str">
        <f t="shared" si="7"/>
        <v>High</v>
      </c>
      <c r="K128" s="6">
        <f t="shared" si="8"/>
        <v>0</v>
      </c>
    </row>
    <row r="129" spans="1:11" x14ac:dyDescent="0.3">
      <c r="A129" t="s">
        <v>135</v>
      </c>
      <c r="B129">
        <v>10</v>
      </c>
      <c r="C129">
        <v>20</v>
      </c>
      <c r="D129">
        <v>30.000001907348629</v>
      </c>
      <c r="E129" t="s">
        <v>135</v>
      </c>
      <c r="F129">
        <v>37.700237274169922</v>
      </c>
      <c r="G129">
        <v>35.129444122314453</v>
      </c>
      <c r="H129">
        <v>72.829681396484375</v>
      </c>
      <c r="I129" s="5" t="str">
        <f t="shared" si="6"/>
        <v>Low</v>
      </c>
      <c r="J129" s="5" t="str">
        <f t="shared" si="7"/>
        <v>High</v>
      </c>
      <c r="K129" s="6">
        <f t="shared" si="8"/>
        <v>0</v>
      </c>
    </row>
    <row r="130" spans="1:11" x14ac:dyDescent="0.3">
      <c r="A130" t="s">
        <v>136</v>
      </c>
      <c r="B130">
        <v>10</v>
      </c>
      <c r="C130">
        <v>20</v>
      </c>
      <c r="D130">
        <v>30.000001907348629</v>
      </c>
      <c r="E130" t="s">
        <v>136</v>
      </c>
      <c r="F130">
        <v>33.627128601074219</v>
      </c>
      <c r="G130">
        <v>26.589834213256839</v>
      </c>
      <c r="H130">
        <v>60.216964721679688</v>
      </c>
      <c r="I130" s="5" t="str">
        <f t="shared" si="6"/>
        <v>Low</v>
      </c>
      <c r="J130" s="5" t="str">
        <f t="shared" si="7"/>
        <v>Medium</v>
      </c>
      <c r="K130" s="6">
        <f t="shared" si="8"/>
        <v>0</v>
      </c>
    </row>
    <row r="131" spans="1:11" x14ac:dyDescent="0.3">
      <c r="A131" t="s">
        <v>137</v>
      </c>
      <c r="B131">
        <v>80</v>
      </c>
      <c r="C131">
        <v>40</v>
      </c>
      <c r="D131">
        <v>120.0000076293945</v>
      </c>
      <c r="E131" t="s">
        <v>137</v>
      </c>
      <c r="F131">
        <v>36.873607635498047</v>
      </c>
      <c r="G131">
        <v>33.726474761962891</v>
      </c>
      <c r="H131">
        <v>70.600082397460938</v>
      </c>
      <c r="I131" s="5" t="str">
        <f t="shared" si="6"/>
        <v>High</v>
      </c>
      <c r="J131" s="5" t="str">
        <f t="shared" si="7"/>
        <v>High</v>
      </c>
      <c r="K131" s="6">
        <f t="shared" si="8"/>
        <v>0</v>
      </c>
    </row>
    <row r="132" spans="1:11" x14ac:dyDescent="0.3">
      <c r="A132" t="s">
        <v>138</v>
      </c>
      <c r="B132">
        <v>80</v>
      </c>
      <c r="C132">
        <v>40</v>
      </c>
      <c r="D132">
        <v>120.0000076293945</v>
      </c>
      <c r="E132" t="s">
        <v>138</v>
      </c>
      <c r="F132">
        <v>38.300907135009773</v>
      </c>
      <c r="G132">
        <v>38.615776062011719</v>
      </c>
      <c r="H132">
        <v>76.916679382324219</v>
      </c>
      <c r="I132" s="5" t="str">
        <f t="shared" si="6"/>
        <v>High</v>
      </c>
      <c r="J132" s="5" t="str">
        <f t="shared" si="7"/>
        <v>High</v>
      </c>
      <c r="K132" s="6">
        <f t="shared" si="8"/>
        <v>0</v>
      </c>
    </row>
    <row r="133" spans="1:11" x14ac:dyDescent="0.3">
      <c r="A133" t="s">
        <v>139</v>
      </c>
      <c r="B133">
        <v>80</v>
      </c>
      <c r="C133">
        <v>40</v>
      </c>
      <c r="D133">
        <v>120.0000076293945</v>
      </c>
      <c r="E133" t="s">
        <v>139</v>
      </c>
      <c r="F133">
        <v>37.590801239013672</v>
      </c>
      <c r="G133">
        <v>36.025356292724609</v>
      </c>
      <c r="H133">
        <v>73.616157531738281</v>
      </c>
      <c r="I133" s="5" t="str">
        <f t="shared" ref="I133:I196" si="9" xml:space="preserve"> IF(D133 &lt;= 39, "Low",
               IF(D133 &lt;= 69, "Medium", "High"))</f>
        <v>High</v>
      </c>
      <c r="J133" s="5" t="str">
        <f t="shared" ref="J133:J196" si="10" xml:space="preserve"> IF(H133 &lt;= 39, "Low",
               IF(H133 &lt;= 69, "Medium", "High"))</f>
        <v>High</v>
      </c>
      <c r="K133" s="6">
        <f t="shared" ref="K133:K196" si="11" xml:space="preserve"> IF(ABS(D133 - H133) &lt;= 30, 1, 0)</f>
        <v>0</v>
      </c>
    </row>
    <row r="134" spans="1:11" x14ac:dyDescent="0.3">
      <c r="A134" t="s">
        <v>140</v>
      </c>
      <c r="B134">
        <v>80</v>
      </c>
      <c r="C134">
        <v>40</v>
      </c>
      <c r="D134">
        <v>120.0000076293945</v>
      </c>
      <c r="E134" t="s">
        <v>140</v>
      </c>
      <c r="F134">
        <v>30.624807357788089</v>
      </c>
      <c r="G134">
        <v>33.041252136230469</v>
      </c>
      <c r="H134">
        <v>63.666057586669922</v>
      </c>
      <c r="I134" s="5" t="str">
        <f t="shared" si="9"/>
        <v>High</v>
      </c>
      <c r="J134" s="5" t="str">
        <f t="shared" si="10"/>
        <v>Medium</v>
      </c>
      <c r="K134" s="6">
        <f t="shared" si="11"/>
        <v>0</v>
      </c>
    </row>
    <row r="135" spans="1:11" x14ac:dyDescent="0.3">
      <c r="A135" t="s">
        <v>141</v>
      </c>
      <c r="B135">
        <v>80</v>
      </c>
      <c r="C135">
        <v>40</v>
      </c>
      <c r="D135">
        <v>120.0000076293945</v>
      </c>
      <c r="E135" t="s">
        <v>141</v>
      </c>
      <c r="F135">
        <v>37.779937744140618</v>
      </c>
      <c r="G135">
        <v>39.270027160644531</v>
      </c>
      <c r="H135">
        <v>77.049964904785156</v>
      </c>
      <c r="I135" s="5" t="str">
        <f t="shared" si="9"/>
        <v>High</v>
      </c>
      <c r="J135" s="5" t="str">
        <f t="shared" si="10"/>
        <v>High</v>
      </c>
      <c r="K135" s="6">
        <f t="shared" si="11"/>
        <v>0</v>
      </c>
    </row>
    <row r="136" spans="1:11" x14ac:dyDescent="0.3">
      <c r="A136" t="s">
        <v>142</v>
      </c>
      <c r="B136">
        <v>80</v>
      </c>
      <c r="C136">
        <v>40</v>
      </c>
      <c r="D136">
        <v>120.0000076293945</v>
      </c>
      <c r="E136" t="s">
        <v>142</v>
      </c>
      <c r="F136">
        <v>28.93195724487305</v>
      </c>
      <c r="G136">
        <v>35.847038269042969</v>
      </c>
      <c r="H136">
        <v>64.77899169921875</v>
      </c>
      <c r="I136" s="5" t="str">
        <f t="shared" si="9"/>
        <v>High</v>
      </c>
      <c r="J136" s="5" t="str">
        <f t="shared" si="10"/>
        <v>Medium</v>
      </c>
      <c r="K136" s="6">
        <f t="shared" si="11"/>
        <v>0</v>
      </c>
    </row>
    <row r="137" spans="1:11" x14ac:dyDescent="0.3">
      <c r="A137" t="s">
        <v>143</v>
      </c>
      <c r="B137">
        <v>60.000003814697273</v>
      </c>
      <c r="C137">
        <v>40</v>
      </c>
      <c r="D137">
        <v>100</v>
      </c>
      <c r="E137" t="s">
        <v>143</v>
      </c>
      <c r="F137">
        <v>34.589511871337891</v>
      </c>
      <c r="G137">
        <v>35.761363983154297</v>
      </c>
      <c r="H137">
        <v>70.350875854492188</v>
      </c>
      <c r="I137" s="5" t="str">
        <f t="shared" si="9"/>
        <v>High</v>
      </c>
      <c r="J137" s="5" t="str">
        <f t="shared" si="10"/>
        <v>High</v>
      </c>
      <c r="K137" s="6">
        <f t="shared" si="11"/>
        <v>1</v>
      </c>
    </row>
    <row r="138" spans="1:11" x14ac:dyDescent="0.3">
      <c r="A138" t="s">
        <v>144</v>
      </c>
      <c r="B138">
        <v>60.000003814697273</v>
      </c>
      <c r="C138">
        <v>40</v>
      </c>
      <c r="D138">
        <v>100</v>
      </c>
      <c r="E138" t="s">
        <v>144</v>
      </c>
      <c r="F138">
        <v>35.283859252929688</v>
      </c>
      <c r="G138">
        <v>35.238437652587891</v>
      </c>
      <c r="H138">
        <v>70.522293090820313</v>
      </c>
      <c r="I138" s="5" t="str">
        <f t="shared" si="9"/>
        <v>High</v>
      </c>
      <c r="J138" s="5" t="str">
        <f t="shared" si="10"/>
        <v>High</v>
      </c>
      <c r="K138" s="6">
        <f t="shared" si="11"/>
        <v>1</v>
      </c>
    </row>
    <row r="139" spans="1:11" x14ac:dyDescent="0.3">
      <c r="A139" t="s">
        <v>145</v>
      </c>
      <c r="B139">
        <v>60.000003814697273</v>
      </c>
      <c r="C139">
        <v>40</v>
      </c>
      <c r="D139">
        <v>100</v>
      </c>
      <c r="E139" t="s">
        <v>145</v>
      </c>
      <c r="F139">
        <v>35.325366973876953</v>
      </c>
      <c r="G139">
        <v>41.336414337158203</v>
      </c>
      <c r="H139">
        <v>76.661773681640625</v>
      </c>
      <c r="I139" s="5" t="str">
        <f t="shared" si="9"/>
        <v>High</v>
      </c>
      <c r="J139" s="5" t="str">
        <f t="shared" si="10"/>
        <v>High</v>
      </c>
      <c r="K139" s="6">
        <f t="shared" si="11"/>
        <v>1</v>
      </c>
    </row>
    <row r="140" spans="1:11" x14ac:dyDescent="0.3">
      <c r="A140" t="s">
        <v>146</v>
      </c>
      <c r="B140">
        <v>60.000003814697273</v>
      </c>
      <c r="C140">
        <v>40</v>
      </c>
      <c r="D140">
        <v>100</v>
      </c>
      <c r="E140" t="s">
        <v>146</v>
      </c>
      <c r="F140">
        <v>46.544391632080078</v>
      </c>
      <c r="G140">
        <v>55.055301666259773</v>
      </c>
      <c r="H140">
        <v>101.5996932983398</v>
      </c>
      <c r="I140" s="5" t="str">
        <f t="shared" si="9"/>
        <v>High</v>
      </c>
      <c r="J140" s="5" t="str">
        <f t="shared" si="10"/>
        <v>High</v>
      </c>
      <c r="K140" s="6">
        <f t="shared" si="11"/>
        <v>1</v>
      </c>
    </row>
    <row r="141" spans="1:11" x14ac:dyDescent="0.3">
      <c r="A141" t="s">
        <v>147</v>
      </c>
      <c r="B141">
        <v>60.000003814697273</v>
      </c>
      <c r="C141">
        <v>40</v>
      </c>
      <c r="D141">
        <v>100</v>
      </c>
      <c r="E141" t="s">
        <v>147</v>
      </c>
      <c r="F141">
        <v>43.160839080810547</v>
      </c>
      <c r="G141">
        <v>50.695697784423828</v>
      </c>
      <c r="H141">
        <v>93.856536865234375</v>
      </c>
      <c r="I141" s="5" t="str">
        <f t="shared" si="9"/>
        <v>High</v>
      </c>
      <c r="J141" s="5" t="str">
        <f t="shared" si="10"/>
        <v>High</v>
      </c>
      <c r="K141" s="6">
        <f t="shared" si="11"/>
        <v>1</v>
      </c>
    </row>
    <row r="142" spans="1:11" x14ac:dyDescent="0.3">
      <c r="A142" t="s">
        <v>148</v>
      </c>
      <c r="B142">
        <v>60.000003814697273</v>
      </c>
      <c r="C142">
        <v>40</v>
      </c>
      <c r="D142">
        <v>100</v>
      </c>
      <c r="E142" t="s">
        <v>148</v>
      </c>
      <c r="F142">
        <v>36.926120758056641</v>
      </c>
      <c r="G142">
        <v>36.010002136230469</v>
      </c>
      <c r="H142">
        <v>72.936126708984375</v>
      </c>
      <c r="I142" s="5" t="str">
        <f t="shared" si="9"/>
        <v>High</v>
      </c>
      <c r="J142" s="5" t="str">
        <f t="shared" si="10"/>
        <v>High</v>
      </c>
      <c r="K142" s="6">
        <f t="shared" si="11"/>
        <v>1</v>
      </c>
    </row>
    <row r="143" spans="1:11" x14ac:dyDescent="0.3">
      <c r="A143" t="s">
        <v>149</v>
      </c>
      <c r="B143">
        <v>60.000003814697273</v>
      </c>
      <c r="C143">
        <v>40</v>
      </c>
      <c r="D143">
        <v>100</v>
      </c>
      <c r="E143" t="s">
        <v>149</v>
      </c>
      <c r="F143">
        <v>44.128570556640618</v>
      </c>
      <c r="G143">
        <v>41.167518615722663</v>
      </c>
      <c r="H143">
        <v>85.296089172363281</v>
      </c>
      <c r="I143" s="5" t="str">
        <f t="shared" si="9"/>
        <v>High</v>
      </c>
      <c r="J143" s="5" t="str">
        <f t="shared" si="10"/>
        <v>High</v>
      </c>
      <c r="K143" s="6">
        <f t="shared" si="11"/>
        <v>1</v>
      </c>
    </row>
    <row r="144" spans="1:11" x14ac:dyDescent="0.3">
      <c r="A144" t="s">
        <v>150</v>
      </c>
      <c r="B144">
        <v>60.000003814697273</v>
      </c>
      <c r="C144">
        <v>40</v>
      </c>
      <c r="D144">
        <v>100</v>
      </c>
      <c r="E144" t="s">
        <v>150</v>
      </c>
      <c r="F144">
        <v>39.895408630371087</v>
      </c>
      <c r="G144">
        <v>40.141212463378913</v>
      </c>
      <c r="H144">
        <v>80.03662109375</v>
      </c>
      <c r="I144" s="5" t="str">
        <f t="shared" si="9"/>
        <v>High</v>
      </c>
      <c r="J144" s="5" t="str">
        <f t="shared" si="10"/>
        <v>High</v>
      </c>
      <c r="K144" s="6">
        <f t="shared" si="11"/>
        <v>1</v>
      </c>
    </row>
    <row r="145" spans="1:11" x14ac:dyDescent="0.3">
      <c r="A145" t="s">
        <v>151</v>
      </c>
      <c r="B145">
        <v>60.000003814697273</v>
      </c>
      <c r="C145">
        <v>40</v>
      </c>
      <c r="D145">
        <v>100</v>
      </c>
      <c r="E145" t="s">
        <v>151</v>
      </c>
      <c r="F145">
        <v>36.053264617919922</v>
      </c>
      <c r="G145">
        <v>35.212459564208977</v>
      </c>
      <c r="H145">
        <v>71.265724182128906</v>
      </c>
      <c r="I145" s="5" t="str">
        <f t="shared" si="9"/>
        <v>High</v>
      </c>
      <c r="J145" s="5" t="str">
        <f t="shared" si="10"/>
        <v>High</v>
      </c>
      <c r="K145" s="6">
        <f t="shared" si="11"/>
        <v>1</v>
      </c>
    </row>
    <row r="146" spans="1:11" x14ac:dyDescent="0.3">
      <c r="A146" t="s">
        <v>152</v>
      </c>
      <c r="B146">
        <v>60.000003814697273</v>
      </c>
      <c r="C146">
        <v>40</v>
      </c>
      <c r="D146">
        <v>100</v>
      </c>
      <c r="E146" t="s">
        <v>152</v>
      </c>
      <c r="F146">
        <v>48.371334075927727</v>
      </c>
      <c r="G146">
        <v>69.3287353515625</v>
      </c>
      <c r="H146">
        <v>117.7000732421875</v>
      </c>
      <c r="I146" s="5" t="str">
        <f t="shared" si="9"/>
        <v>High</v>
      </c>
      <c r="J146" s="5" t="str">
        <f t="shared" si="10"/>
        <v>High</v>
      </c>
      <c r="K146" s="6">
        <f t="shared" si="11"/>
        <v>1</v>
      </c>
    </row>
    <row r="147" spans="1:11" x14ac:dyDescent="0.3">
      <c r="A147" t="s">
        <v>153</v>
      </c>
      <c r="B147">
        <v>60.000003814697273</v>
      </c>
      <c r="C147">
        <v>40</v>
      </c>
      <c r="D147">
        <v>100</v>
      </c>
      <c r="E147" t="s">
        <v>153</v>
      </c>
      <c r="F147">
        <v>47.967571258544922</v>
      </c>
      <c r="G147">
        <v>67.5465087890625</v>
      </c>
      <c r="H147">
        <v>115.5140838623047</v>
      </c>
      <c r="I147" s="5" t="str">
        <f t="shared" si="9"/>
        <v>High</v>
      </c>
      <c r="J147" s="5" t="str">
        <f t="shared" si="10"/>
        <v>High</v>
      </c>
      <c r="K147" s="6">
        <f t="shared" si="11"/>
        <v>1</v>
      </c>
    </row>
    <row r="148" spans="1:11" x14ac:dyDescent="0.3">
      <c r="A148" t="s">
        <v>154</v>
      </c>
      <c r="B148">
        <v>60.000003814697273</v>
      </c>
      <c r="C148">
        <v>40</v>
      </c>
      <c r="D148">
        <v>100</v>
      </c>
      <c r="E148" t="s">
        <v>154</v>
      </c>
      <c r="F148">
        <v>40.514144897460938</v>
      </c>
      <c r="G148">
        <v>49.893646240234382</v>
      </c>
      <c r="H148">
        <v>90.407791137695313</v>
      </c>
      <c r="I148" s="5" t="str">
        <f t="shared" si="9"/>
        <v>High</v>
      </c>
      <c r="J148" s="5" t="str">
        <f t="shared" si="10"/>
        <v>High</v>
      </c>
      <c r="K148" s="6">
        <f t="shared" si="11"/>
        <v>1</v>
      </c>
    </row>
    <row r="149" spans="1:11" x14ac:dyDescent="0.3">
      <c r="A149" t="s">
        <v>155</v>
      </c>
      <c r="B149">
        <v>50</v>
      </c>
      <c r="C149">
        <v>90</v>
      </c>
      <c r="D149">
        <v>140</v>
      </c>
      <c r="E149" t="s">
        <v>155</v>
      </c>
      <c r="F149">
        <v>45.143531799316413</v>
      </c>
      <c r="G149">
        <v>60.694873809814453</v>
      </c>
      <c r="H149">
        <v>105.8384094238281</v>
      </c>
      <c r="I149" s="5" t="str">
        <f t="shared" si="9"/>
        <v>High</v>
      </c>
      <c r="J149" s="5" t="str">
        <f t="shared" si="10"/>
        <v>High</v>
      </c>
      <c r="K149" s="6">
        <f t="shared" si="11"/>
        <v>0</v>
      </c>
    </row>
    <row r="150" spans="1:11" x14ac:dyDescent="0.3">
      <c r="A150" t="s">
        <v>156</v>
      </c>
      <c r="B150">
        <v>50</v>
      </c>
      <c r="C150">
        <v>90</v>
      </c>
      <c r="D150">
        <v>140</v>
      </c>
      <c r="E150" t="s">
        <v>156</v>
      </c>
      <c r="F150">
        <v>40.779491424560547</v>
      </c>
      <c r="G150">
        <v>53.553916931152337</v>
      </c>
      <c r="H150">
        <v>94.333412170410156</v>
      </c>
      <c r="I150" s="5" t="str">
        <f t="shared" si="9"/>
        <v>High</v>
      </c>
      <c r="J150" s="5" t="str">
        <f t="shared" si="10"/>
        <v>High</v>
      </c>
      <c r="K150" s="6">
        <f t="shared" si="11"/>
        <v>0</v>
      </c>
    </row>
    <row r="151" spans="1:11" x14ac:dyDescent="0.3">
      <c r="A151" t="s">
        <v>157</v>
      </c>
      <c r="B151">
        <v>50</v>
      </c>
      <c r="C151">
        <v>90</v>
      </c>
      <c r="D151">
        <v>140</v>
      </c>
      <c r="E151" t="s">
        <v>157</v>
      </c>
      <c r="F151">
        <v>43.689388275146477</v>
      </c>
      <c r="G151">
        <v>59.46710205078125</v>
      </c>
      <c r="H151">
        <v>103.156494140625</v>
      </c>
      <c r="I151" s="5" t="str">
        <f t="shared" si="9"/>
        <v>High</v>
      </c>
      <c r="J151" s="5" t="str">
        <f t="shared" si="10"/>
        <v>High</v>
      </c>
      <c r="K151" s="6">
        <f t="shared" si="11"/>
        <v>0</v>
      </c>
    </row>
    <row r="152" spans="1:11" x14ac:dyDescent="0.3">
      <c r="A152" t="s">
        <v>158</v>
      </c>
      <c r="B152">
        <v>50</v>
      </c>
      <c r="C152">
        <v>90</v>
      </c>
      <c r="D152">
        <v>140</v>
      </c>
      <c r="E152" t="s">
        <v>158</v>
      </c>
      <c r="F152">
        <v>44.5616455078125</v>
      </c>
      <c r="G152">
        <v>61.488872528076172</v>
      </c>
      <c r="H152">
        <v>106.05051422119141</v>
      </c>
      <c r="I152" s="5" t="str">
        <f t="shared" si="9"/>
        <v>High</v>
      </c>
      <c r="J152" s="5" t="str">
        <f t="shared" si="10"/>
        <v>High</v>
      </c>
      <c r="K152" s="6">
        <f t="shared" si="11"/>
        <v>0</v>
      </c>
    </row>
    <row r="153" spans="1:11" x14ac:dyDescent="0.3">
      <c r="A153" t="s">
        <v>159</v>
      </c>
      <c r="B153">
        <v>50</v>
      </c>
      <c r="C153">
        <v>90</v>
      </c>
      <c r="D153">
        <v>140</v>
      </c>
      <c r="E153" t="s">
        <v>159</v>
      </c>
      <c r="F153">
        <v>44.1746826171875</v>
      </c>
      <c r="G153">
        <v>58.281982421875</v>
      </c>
      <c r="H153">
        <v>102.4566650390625</v>
      </c>
      <c r="I153" s="5" t="str">
        <f t="shared" si="9"/>
        <v>High</v>
      </c>
      <c r="J153" s="5" t="str">
        <f t="shared" si="10"/>
        <v>High</v>
      </c>
      <c r="K153" s="6">
        <f t="shared" si="11"/>
        <v>0</v>
      </c>
    </row>
    <row r="154" spans="1:11" x14ac:dyDescent="0.3">
      <c r="A154" t="s">
        <v>160</v>
      </c>
      <c r="B154">
        <v>50</v>
      </c>
      <c r="C154">
        <v>90</v>
      </c>
      <c r="D154">
        <v>140</v>
      </c>
      <c r="E154" t="s">
        <v>160</v>
      </c>
      <c r="F154">
        <v>48.552566528320313</v>
      </c>
      <c r="G154">
        <v>65.3306884765625</v>
      </c>
      <c r="H154">
        <v>113.8832550048828</v>
      </c>
      <c r="I154" s="5" t="str">
        <f t="shared" si="9"/>
        <v>High</v>
      </c>
      <c r="J154" s="5" t="str">
        <f t="shared" si="10"/>
        <v>High</v>
      </c>
      <c r="K154" s="6">
        <f t="shared" si="11"/>
        <v>1</v>
      </c>
    </row>
    <row r="155" spans="1:11" x14ac:dyDescent="0.3">
      <c r="A155" t="s">
        <v>161</v>
      </c>
      <c r="B155">
        <v>50</v>
      </c>
      <c r="C155">
        <v>70</v>
      </c>
      <c r="D155">
        <v>120.0000076293945</v>
      </c>
      <c r="E155" t="s">
        <v>161</v>
      </c>
      <c r="F155">
        <v>45.864303588867188</v>
      </c>
      <c r="G155">
        <v>61.923355102539063</v>
      </c>
      <c r="H155">
        <v>107.78765869140619</v>
      </c>
      <c r="I155" s="5" t="str">
        <f t="shared" si="9"/>
        <v>High</v>
      </c>
      <c r="J155" s="5" t="str">
        <f t="shared" si="10"/>
        <v>High</v>
      </c>
      <c r="K155" s="6">
        <f t="shared" si="11"/>
        <v>1</v>
      </c>
    </row>
    <row r="156" spans="1:11" x14ac:dyDescent="0.3">
      <c r="A156" t="s">
        <v>162</v>
      </c>
      <c r="B156">
        <v>50</v>
      </c>
      <c r="C156">
        <v>70</v>
      </c>
      <c r="D156">
        <v>120.0000076293945</v>
      </c>
      <c r="E156" t="s">
        <v>162</v>
      </c>
      <c r="F156">
        <v>53.492225646972663</v>
      </c>
      <c r="G156">
        <v>66.638908386230469</v>
      </c>
      <c r="H156">
        <v>120.1311340332031</v>
      </c>
      <c r="I156" s="5" t="str">
        <f t="shared" si="9"/>
        <v>High</v>
      </c>
      <c r="J156" s="5" t="str">
        <f t="shared" si="10"/>
        <v>High</v>
      </c>
      <c r="K156" s="6">
        <f t="shared" si="11"/>
        <v>1</v>
      </c>
    </row>
    <row r="157" spans="1:11" x14ac:dyDescent="0.3">
      <c r="A157" t="s">
        <v>163</v>
      </c>
      <c r="B157">
        <v>50</v>
      </c>
      <c r="C157">
        <v>70</v>
      </c>
      <c r="D157">
        <v>120.0000076293945</v>
      </c>
      <c r="E157" t="s">
        <v>163</v>
      </c>
      <c r="F157">
        <v>49.338054656982422</v>
      </c>
      <c r="G157">
        <v>61.004562377929688</v>
      </c>
      <c r="H157">
        <v>110.3426208496094</v>
      </c>
      <c r="I157" s="5" t="str">
        <f t="shared" si="9"/>
        <v>High</v>
      </c>
      <c r="J157" s="5" t="str">
        <f t="shared" si="10"/>
        <v>High</v>
      </c>
      <c r="K157" s="6">
        <f t="shared" si="11"/>
        <v>1</v>
      </c>
    </row>
    <row r="158" spans="1:11" x14ac:dyDescent="0.3">
      <c r="A158" t="s">
        <v>164</v>
      </c>
      <c r="B158">
        <v>50</v>
      </c>
      <c r="C158">
        <v>70</v>
      </c>
      <c r="D158">
        <v>120.0000076293945</v>
      </c>
      <c r="E158" t="s">
        <v>164</v>
      </c>
      <c r="F158">
        <v>49.254802703857422</v>
      </c>
      <c r="G158">
        <v>49.585342407226563</v>
      </c>
      <c r="H158">
        <v>98.840141296386719</v>
      </c>
      <c r="I158" s="5" t="str">
        <f t="shared" si="9"/>
        <v>High</v>
      </c>
      <c r="J158" s="5" t="str">
        <f t="shared" si="10"/>
        <v>High</v>
      </c>
      <c r="K158" s="6">
        <f t="shared" si="11"/>
        <v>1</v>
      </c>
    </row>
    <row r="159" spans="1:11" x14ac:dyDescent="0.3">
      <c r="A159" t="s">
        <v>165</v>
      </c>
      <c r="B159">
        <v>50</v>
      </c>
      <c r="C159">
        <v>70</v>
      </c>
      <c r="D159">
        <v>120.0000076293945</v>
      </c>
      <c r="E159" t="s">
        <v>165</v>
      </c>
      <c r="F159">
        <v>58.085788726806641</v>
      </c>
      <c r="G159">
        <v>61.401706695556641</v>
      </c>
      <c r="H159">
        <v>119.4875030517578</v>
      </c>
      <c r="I159" s="5" t="str">
        <f t="shared" si="9"/>
        <v>High</v>
      </c>
      <c r="J159" s="5" t="str">
        <f t="shared" si="10"/>
        <v>High</v>
      </c>
      <c r="K159" s="6">
        <f t="shared" si="11"/>
        <v>1</v>
      </c>
    </row>
    <row r="160" spans="1:11" x14ac:dyDescent="0.3">
      <c r="A160" t="s">
        <v>166</v>
      </c>
      <c r="B160">
        <v>50</v>
      </c>
      <c r="C160">
        <v>70</v>
      </c>
      <c r="D160">
        <v>120.0000076293945</v>
      </c>
      <c r="E160" t="s">
        <v>166</v>
      </c>
      <c r="F160">
        <v>53.212963104248047</v>
      </c>
      <c r="G160">
        <v>57.662506103515618</v>
      </c>
      <c r="H160">
        <v>110.87546539306641</v>
      </c>
      <c r="I160" s="5" t="str">
        <f t="shared" si="9"/>
        <v>High</v>
      </c>
      <c r="J160" s="5" t="str">
        <f t="shared" si="10"/>
        <v>High</v>
      </c>
      <c r="K160" s="6">
        <f t="shared" si="11"/>
        <v>1</v>
      </c>
    </row>
    <row r="161" spans="1:11" x14ac:dyDescent="0.3">
      <c r="A161" t="s">
        <v>167</v>
      </c>
      <c r="B161">
        <v>60.000003814697273</v>
      </c>
      <c r="C161">
        <v>60.000003814697273</v>
      </c>
      <c r="D161">
        <v>120.0000076293945</v>
      </c>
      <c r="E161" t="s">
        <v>167</v>
      </c>
      <c r="F161">
        <v>49.965019226074219</v>
      </c>
      <c r="G161">
        <v>52.226680755615227</v>
      </c>
      <c r="H161">
        <v>102.1916961669922</v>
      </c>
      <c r="I161" s="5" t="str">
        <f t="shared" si="9"/>
        <v>High</v>
      </c>
      <c r="J161" s="5" t="str">
        <f t="shared" si="10"/>
        <v>High</v>
      </c>
      <c r="K161" s="6">
        <f t="shared" si="11"/>
        <v>1</v>
      </c>
    </row>
    <row r="162" spans="1:11" x14ac:dyDescent="0.3">
      <c r="A162" t="s">
        <v>168</v>
      </c>
      <c r="B162">
        <v>60.000003814697273</v>
      </c>
      <c r="C162">
        <v>60.000003814697273</v>
      </c>
      <c r="D162">
        <v>120.0000076293945</v>
      </c>
      <c r="E162" t="s">
        <v>168</v>
      </c>
      <c r="F162">
        <v>46.394271850585938</v>
      </c>
      <c r="G162">
        <v>57.426292419433587</v>
      </c>
      <c r="H162">
        <v>103.8205642700195</v>
      </c>
      <c r="I162" s="5" t="str">
        <f t="shared" si="9"/>
        <v>High</v>
      </c>
      <c r="J162" s="5" t="str">
        <f t="shared" si="10"/>
        <v>High</v>
      </c>
      <c r="K162" s="6">
        <f t="shared" si="11"/>
        <v>1</v>
      </c>
    </row>
    <row r="163" spans="1:11" x14ac:dyDescent="0.3">
      <c r="A163" t="s">
        <v>169</v>
      </c>
      <c r="B163">
        <v>60.000003814697273</v>
      </c>
      <c r="C163">
        <v>60.000003814697273</v>
      </c>
      <c r="D163">
        <v>120.0000076293945</v>
      </c>
      <c r="E163" t="s">
        <v>169</v>
      </c>
      <c r="F163">
        <v>52.631313323974609</v>
      </c>
      <c r="G163">
        <v>53.226058959960938</v>
      </c>
      <c r="H163">
        <v>105.8573760986328</v>
      </c>
      <c r="I163" s="5" t="str">
        <f t="shared" si="9"/>
        <v>High</v>
      </c>
      <c r="J163" s="5" t="str">
        <f t="shared" si="10"/>
        <v>High</v>
      </c>
      <c r="K163" s="6">
        <f t="shared" si="11"/>
        <v>1</v>
      </c>
    </row>
    <row r="164" spans="1:11" x14ac:dyDescent="0.3">
      <c r="A164" t="s">
        <v>170</v>
      </c>
      <c r="B164">
        <v>60.000003814697273</v>
      </c>
      <c r="C164">
        <v>60.000003814697273</v>
      </c>
      <c r="D164">
        <v>120.0000076293945</v>
      </c>
      <c r="E164" t="s">
        <v>170</v>
      </c>
      <c r="F164">
        <v>42.14776611328125</v>
      </c>
      <c r="G164">
        <v>55.240970611572273</v>
      </c>
      <c r="H164">
        <v>97.388740539550781</v>
      </c>
      <c r="I164" s="5" t="str">
        <f t="shared" si="9"/>
        <v>High</v>
      </c>
      <c r="J164" s="5" t="str">
        <f t="shared" si="10"/>
        <v>High</v>
      </c>
      <c r="K164" s="6">
        <f t="shared" si="11"/>
        <v>1</v>
      </c>
    </row>
    <row r="165" spans="1:11" x14ac:dyDescent="0.3">
      <c r="A165" t="s">
        <v>171</v>
      </c>
      <c r="B165">
        <v>60.000003814697273</v>
      </c>
      <c r="C165">
        <v>60.000003814697273</v>
      </c>
      <c r="D165">
        <v>120.0000076293945</v>
      </c>
      <c r="E165" t="s">
        <v>171</v>
      </c>
      <c r="F165">
        <v>49.295272827148438</v>
      </c>
      <c r="G165">
        <v>55.766426086425781</v>
      </c>
      <c r="H165">
        <v>105.0616989135742</v>
      </c>
      <c r="I165" s="5" t="str">
        <f t="shared" si="9"/>
        <v>High</v>
      </c>
      <c r="J165" s="5" t="str">
        <f t="shared" si="10"/>
        <v>High</v>
      </c>
      <c r="K165" s="6">
        <f t="shared" si="11"/>
        <v>1</v>
      </c>
    </row>
    <row r="166" spans="1:11" x14ac:dyDescent="0.3">
      <c r="A166" t="s">
        <v>172</v>
      </c>
      <c r="B166">
        <v>60.000003814697273</v>
      </c>
      <c r="C166">
        <v>60.000003814697273</v>
      </c>
      <c r="D166">
        <v>120.0000076293945</v>
      </c>
      <c r="E166" t="s">
        <v>172</v>
      </c>
      <c r="F166">
        <v>54.19921875</v>
      </c>
      <c r="G166">
        <v>67.556526184082031</v>
      </c>
      <c r="H166">
        <v>121.755744934082</v>
      </c>
      <c r="I166" s="5" t="str">
        <f t="shared" si="9"/>
        <v>High</v>
      </c>
      <c r="J166" s="5" t="str">
        <f t="shared" si="10"/>
        <v>High</v>
      </c>
      <c r="K166" s="6">
        <f t="shared" si="11"/>
        <v>1</v>
      </c>
    </row>
    <row r="167" spans="1:11" x14ac:dyDescent="0.3">
      <c r="A167" t="s">
        <v>173</v>
      </c>
      <c r="B167">
        <v>50</v>
      </c>
      <c r="C167">
        <v>60.000003814697273</v>
      </c>
      <c r="D167">
        <v>110</v>
      </c>
      <c r="E167" t="s">
        <v>173</v>
      </c>
      <c r="F167">
        <v>53.381622314453118</v>
      </c>
      <c r="G167">
        <v>62.408424377441413</v>
      </c>
      <c r="H167">
        <v>115.7900466918945</v>
      </c>
      <c r="I167" s="5" t="str">
        <f t="shared" si="9"/>
        <v>High</v>
      </c>
      <c r="J167" s="5" t="str">
        <f t="shared" si="10"/>
        <v>High</v>
      </c>
      <c r="K167" s="6">
        <f t="shared" si="11"/>
        <v>1</v>
      </c>
    </row>
    <row r="168" spans="1:11" x14ac:dyDescent="0.3">
      <c r="A168" t="s">
        <v>174</v>
      </c>
      <c r="B168">
        <v>50</v>
      </c>
      <c r="C168">
        <v>60.000003814697273</v>
      </c>
      <c r="D168">
        <v>110</v>
      </c>
      <c r="E168" t="s">
        <v>174</v>
      </c>
      <c r="F168">
        <v>41.533161163330078</v>
      </c>
      <c r="G168">
        <v>50.584255218505859</v>
      </c>
      <c r="H168">
        <v>92.117416381835938</v>
      </c>
      <c r="I168" s="5" t="str">
        <f t="shared" si="9"/>
        <v>High</v>
      </c>
      <c r="J168" s="5" t="str">
        <f t="shared" si="10"/>
        <v>High</v>
      </c>
      <c r="K168" s="6">
        <f t="shared" si="11"/>
        <v>1</v>
      </c>
    </row>
    <row r="169" spans="1:11" x14ac:dyDescent="0.3">
      <c r="A169" t="s">
        <v>175</v>
      </c>
      <c r="B169">
        <v>50</v>
      </c>
      <c r="C169">
        <v>60.000003814697273</v>
      </c>
      <c r="D169">
        <v>110</v>
      </c>
      <c r="E169" t="s">
        <v>175</v>
      </c>
      <c r="F169">
        <v>57.200210571289063</v>
      </c>
      <c r="G169">
        <v>64.110099792480469</v>
      </c>
      <c r="H169">
        <v>121.310302734375</v>
      </c>
      <c r="I169" s="5" t="str">
        <f t="shared" si="9"/>
        <v>High</v>
      </c>
      <c r="J169" s="5" t="str">
        <f t="shared" si="10"/>
        <v>High</v>
      </c>
      <c r="K169" s="6">
        <f t="shared" si="11"/>
        <v>1</v>
      </c>
    </row>
    <row r="170" spans="1:11" x14ac:dyDescent="0.3">
      <c r="A170" t="s">
        <v>176</v>
      </c>
      <c r="B170">
        <v>50</v>
      </c>
      <c r="C170">
        <v>60.000003814697273</v>
      </c>
      <c r="D170">
        <v>110</v>
      </c>
      <c r="E170" t="s">
        <v>176</v>
      </c>
      <c r="F170">
        <v>41.691249847412109</v>
      </c>
      <c r="G170">
        <v>45.448146820068359</v>
      </c>
      <c r="H170">
        <v>87.139389038085938</v>
      </c>
      <c r="I170" s="5" t="str">
        <f t="shared" si="9"/>
        <v>High</v>
      </c>
      <c r="J170" s="5" t="str">
        <f t="shared" si="10"/>
        <v>High</v>
      </c>
      <c r="K170" s="6">
        <f t="shared" si="11"/>
        <v>1</v>
      </c>
    </row>
    <row r="171" spans="1:11" x14ac:dyDescent="0.3">
      <c r="A171" t="s">
        <v>177</v>
      </c>
      <c r="B171">
        <v>50</v>
      </c>
      <c r="C171">
        <v>60.000003814697273</v>
      </c>
      <c r="D171">
        <v>110</v>
      </c>
      <c r="E171" t="s">
        <v>177</v>
      </c>
      <c r="F171">
        <v>41.830547332763672</v>
      </c>
      <c r="G171">
        <v>52.619407653808587</v>
      </c>
      <c r="H171">
        <v>94.449958801269531</v>
      </c>
      <c r="I171" s="5" t="str">
        <f t="shared" si="9"/>
        <v>High</v>
      </c>
      <c r="J171" s="5" t="str">
        <f t="shared" si="10"/>
        <v>High</v>
      </c>
      <c r="K171" s="6">
        <f t="shared" si="11"/>
        <v>1</v>
      </c>
    </row>
    <row r="172" spans="1:11" x14ac:dyDescent="0.3">
      <c r="A172" t="s">
        <v>178</v>
      </c>
      <c r="B172">
        <v>50</v>
      </c>
      <c r="C172">
        <v>60.000003814697273</v>
      </c>
      <c r="D172">
        <v>110</v>
      </c>
      <c r="E172" t="s">
        <v>178</v>
      </c>
      <c r="F172">
        <v>52.283226013183587</v>
      </c>
      <c r="G172">
        <v>64.704315185546875</v>
      </c>
      <c r="H172">
        <v>116.9875411987305</v>
      </c>
      <c r="I172" s="5" t="str">
        <f t="shared" si="9"/>
        <v>High</v>
      </c>
      <c r="J172" s="5" t="str">
        <f t="shared" si="10"/>
        <v>High</v>
      </c>
      <c r="K172" s="6">
        <f t="shared" si="11"/>
        <v>1</v>
      </c>
    </row>
    <row r="173" spans="1:11" x14ac:dyDescent="0.3">
      <c r="A173" t="s">
        <v>179</v>
      </c>
      <c r="B173">
        <v>40</v>
      </c>
      <c r="C173">
        <v>50</v>
      </c>
      <c r="D173">
        <v>90</v>
      </c>
      <c r="E173" t="s">
        <v>179</v>
      </c>
      <c r="F173">
        <v>39.901371002197273</v>
      </c>
      <c r="G173">
        <v>51.80133056640625</v>
      </c>
      <c r="H173">
        <v>91.70269775390625</v>
      </c>
      <c r="I173" s="5" t="str">
        <f t="shared" si="9"/>
        <v>High</v>
      </c>
      <c r="J173" s="5" t="str">
        <f t="shared" si="10"/>
        <v>High</v>
      </c>
      <c r="K173" s="6">
        <f t="shared" si="11"/>
        <v>1</v>
      </c>
    </row>
    <row r="174" spans="1:11" x14ac:dyDescent="0.3">
      <c r="A174" t="s">
        <v>180</v>
      </c>
      <c r="B174">
        <v>40</v>
      </c>
      <c r="C174">
        <v>50</v>
      </c>
      <c r="D174">
        <v>90</v>
      </c>
      <c r="E174" t="s">
        <v>180</v>
      </c>
      <c r="F174">
        <v>52.327621459960938</v>
      </c>
      <c r="G174">
        <v>60.4708251953125</v>
      </c>
      <c r="H174">
        <v>112.798454284668</v>
      </c>
      <c r="I174" s="5" t="str">
        <f t="shared" si="9"/>
        <v>High</v>
      </c>
      <c r="J174" s="5" t="str">
        <f t="shared" si="10"/>
        <v>High</v>
      </c>
      <c r="K174" s="6">
        <f t="shared" si="11"/>
        <v>1</v>
      </c>
    </row>
    <row r="175" spans="1:11" x14ac:dyDescent="0.3">
      <c r="A175" t="s">
        <v>181</v>
      </c>
      <c r="B175">
        <v>40</v>
      </c>
      <c r="C175">
        <v>50</v>
      </c>
      <c r="D175">
        <v>90</v>
      </c>
      <c r="E175" t="s">
        <v>181</v>
      </c>
      <c r="F175">
        <v>49.143619537353523</v>
      </c>
      <c r="G175">
        <v>57.723091125488281</v>
      </c>
      <c r="H175">
        <v>106.86671447753911</v>
      </c>
      <c r="I175" s="5" t="str">
        <f t="shared" si="9"/>
        <v>High</v>
      </c>
      <c r="J175" s="5" t="str">
        <f t="shared" si="10"/>
        <v>High</v>
      </c>
      <c r="K175" s="6">
        <f t="shared" si="11"/>
        <v>1</v>
      </c>
    </row>
    <row r="176" spans="1:11" x14ac:dyDescent="0.3">
      <c r="A176" t="s">
        <v>182</v>
      </c>
      <c r="B176">
        <v>40</v>
      </c>
      <c r="C176">
        <v>50</v>
      </c>
      <c r="D176">
        <v>90</v>
      </c>
      <c r="E176" t="s">
        <v>182</v>
      </c>
      <c r="F176">
        <v>46.947349548339837</v>
      </c>
      <c r="G176">
        <v>54.421478271484382</v>
      </c>
      <c r="H176">
        <v>101.36883544921881</v>
      </c>
      <c r="I176" s="5" t="str">
        <f t="shared" si="9"/>
        <v>High</v>
      </c>
      <c r="J176" s="5" t="str">
        <f t="shared" si="10"/>
        <v>High</v>
      </c>
      <c r="K176" s="6">
        <f t="shared" si="11"/>
        <v>1</v>
      </c>
    </row>
    <row r="177" spans="1:11" x14ac:dyDescent="0.3">
      <c r="A177" t="s">
        <v>183</v>
      </c>
      <c r="B177">
        <v>40</v>
      </c>
      <c r="C177">
        <v>50</v>
      </c>
      <c r="D177">
        <v>90</v>
      </c>
      <c r="E177" t="s">
        <v>183</v>
      </c>
      <c r="F177">
        <v>37.70654296875</v>
      </c>
      <c r="G177">
        <v>38.994102478027337</v>
      </c>
      <c r="H177">
        <v>76.700645446777344</v>
      </c>
      <c r="I177" s="5" t="str">
        <f t="shared" si="9"/>
        <v>High</v>
      </c>
      <c r="J177" s="5" t="str">
        <f t="shared" si="10"/>
        <v>High</v>
      </c>
      <c r="K177" s="6">
        <f t="shared" si="11"/>
        <v>1</v>
      </c>
    </row>
    <row r="178" spans="1:11" x14ac:dyDescent="0.3">
      <c r="A178" t="s">
        <v>184</v>
      </c>
      <c r="B178">
        <v>40</v>
      </c>
      <c r="C178">
        <v>50</v>
      </c>
      <c r="D178">
        <v>90</v>
      </c>
      <c r="E178" t="s">
        <v>184</v>
      </c>
      <c r="F178">
        <v>49.621917724609382</v>
      </c>
      <c r="G178">
        <v>65.450424194335938</v>
      </c>
      <c r="H178">
        <v>115.0723419189453</v>
      </c>
      <c r="I178" s="5" t="str">
        <f t="shared" si="9"/>
        <v>High</v>
      </c>
      <c r="J178" s="5" t="str">
        <f t="shared" si="10"/>
        <v>High</v>
      </c>
      <c r="K178" s="6">
        <f t="shared" si="11"/>
        <v>1</v>
      </c>
    </row>
    <row r="179" spans="1:11" x14ac:dyDescent="0.3">
      <c r="A179" t="s">
        <v>185</v>
      </c>
      <c r="B179">
        <v>40</v>
      </c>
      <c r="C179">
        <v>60.000003814697273</v>
      </c>
      <c r="D179">
        <v>100</v>
      </c>
      <c r="E179" t="s">
        <v>185</v>
      </c>
      <c r="F179">
        <v>42.332370758056641</v>
      </c>
      <c r="G179">
        <v>45.851055145263672</v>
      </c>
      <c r="H179">
        <v>88.183425903320313</v>
      </c>
      <c r="I179" s="5" t="str">
        <f t="shared" si="9"/>
        <v>High</v>
      </c>
      <c r="J179" s="5" t="str">
        <f t="shared" si="10"/>
        <v>High</v>
      </c>
      <c r="K179" s="6">
        <f t="shared" si="11"/>
        <v>1</v>
      </c>
    </row>
    <row r="180" spans="1:11" x14ac:dyDescent="0.3">
      <c r="A180" t="s">
        <v>186</v>
      </c>
      <c r="B180">
        <v>40</v>
      </c>
      <c r="C180">
        <v>60.000003814697273</v>
      </c>
      <c r="D180">
        <v>100</v>
      </c>
      <c r="E180" t="s">
        <v>186</v>
      </c>
      <c r="F180">
        <v>44.863842010498047</v>
      </c>
      <c r="G180">
        <v>53.779232025146477</v>
      </c>
      <c r="H180">
        <v>98.643074035644531</v>
      </c>
      <c r="I180" s="5" t="str">
        <f t="shared" si="9"/>
        <v>High</v>
      </c>
      <c r="J180" s="5" t="str">
        <f t="shared" si="10"/>
        <v>High</v>
      </c>
      <c r="K180" s="6">
        <f t="shared" si="11"/>
        <v>1</v>
      </c>
    </row>
    <row r="181" spans="1:11" x14ac:dyDescent="0.3">
      <c r="A181" t="s">
        <v>187</v>
      </c>
      <c r="B181">
        <v>40</v>
      </c>
      <c r="C181">
        <v>60.000003814697273</v>
      </c>
      <c r="D181">
        <v>100</v>
      </c>
      <c r="E181" t="s">
        <v>187</v>
      </c>
      <c r="F181">
        <v>44.779483795166023</v>
      </c>
      <c r="G181">
        <v>55.850971221923828</v>
      </c>
      <c r="H181">
        <v>100.6304473876953</v>
      </c>
      <c r="I181" s="5" t="str">
        <f t="shared" si="9"/>
        <v>High</v>
      </c>
      <c r="J181" s="5" t="str">
        <f t="shared" si="10"/>
        <v>High</v>
      </c>
      <c r="K181" s="6">
        <f t="shared" si="11"/>
        <v>1</v>
      </c>
    </row>
    <row r="182" spans="1:11" x14ac:dyDescent="0.3">
      <c r="A182" t="s">
        <v>188</v>
      </c>
      <c r="B182">
        <v>40</v>
      </c>
      <c r="C182">
        <v>60.000003814697273</v>
      </c>
      <c r="D182">
        <v>100</v>
      </c>
      <c r="E182" t="s">
        <v>188</v>
      </c>
      <c r="F182">
        <v>47.081195831298828</v>
      </c>
      <c r="G182">
        <v>58.422355651855469</v>
      </c>
      <c r="H182">
        <v>105.50355529785161</v>
      </c>
      <c r="I182" s="5" t="str">
        <f t="shared" si="9"/>
        <v>High</v>
      </c>
      <c r="J182" s="5" t="str">
        <f t="shared" si="10"/>
        <v>High</v>
      </c>
      <c r="K182" s="6">
        <f t="shared" si="11"/>
        <v>1</v>
      </c>
    </row>
    <row r="183" spans="1:11" x14ac:dyDescent="0.3">
      <c r="A183" t="s">
        <v>189</v>
      </c>
      <c r="B183">
        <v>40</v>
      </c>
      <c r="C183">
        <v>60.000003814697273</v>
      </c>
      <c r="D183">
        <v>100</v>
      </c>
      <c r="E183" t="s">
        <v>189</v>
      </c>
      <c r="F183">
        <v>42.432918548583977</v>
      </c>
      <c r="G183">
        <v>59.455818176269531</v>
      </c>
      <c r="H183">
        <v>101.8887405395508</v>
      </c>
      <c r="I183" s="5" t="str">
        <f t="shared" si="9"/>
        <v>High</v>
      </c>
      <c r="J183" s="5" t="str">
        <f t="shared" si="10"/>
        <v>High</v>
      </c>
      <c r="K183" s="6">
        <f t="shared" si="11"/>
        <v>1</v>
      </c>
    </row>
    <row r="184" spans="1:11" x14ac:dyDescent="0.3">
      <c r="A184" t="s">
        <v>190</v>
      </c>
      <c r="B184">
        <v>40</v>
      </c>
      <c r="C184">
        <v>60.000003814697273</v>
      </c>
      <c r="D184">
        <v>100</v>
      </c>
      <c r="E184" t="s">
        <v>190</v>
      </c>
      <c r="F184">
        <v>48.909156799316413</v>
      </c>
      <c r="G184">
        <v>57.361434936523438</v>
      </c>
      <c r="H184">
        <v>106.2705993652344</v>
      </c>
      <c r="I184" s="5" t="str">
        <f t="shared" si="9"/>
        <v>High</v>
      </c>
      <c r="J184" s="5" t="str">
        <f t="shared" si="10"/>
        <v>High</v>
      </c>
      <c r="K184" s="6">
        <f t="shared" si="11"/>
        <v>1</v>
      </c>
    </row>
    <row r="185" spans="1:11" x14ac:dyDescent="0.3">
      <c r="A185" t="s">
        <v>191</v>
      </c>
      <c r="B185">
        <v>60.000003814697273</v>
      </c>
      <c r="C185">
        <v>80</v>
      </c>
      <c r="D185">
        <v>140.00001525878909</v>
      </c>
      <c r="E185" t="s">
        <v>191</v>
      </c>
      <c r="F185">
        <v>46.326377868652337</v>
      </c>
      <c r="G185">
        <v>57.332958221435547</v>
      </c>
      <c r="H185">
        <v>103.6593322753906</v>
      </c>
      <c r="I185" s="5" t="str">
        <f t="shared" si="9"/>
        <v>High</v>
      </c>
      <c r="J185" s="5" t="str">
        <f t="shared" si="10"/>
        <v>High</v>
      </c>
      <c r="K185" s="6">
        <f t="shared" si="11"/>
        <v>0</v>
      </c>
    </row>
    <row r="186" spans="1:11" x14ac:dyDescent="0.3">
      <c r="A186" t="s">
        <v>192</v>
      </c>
      <c r="B186">
        <v>60.000003814697273</v>
      </c>
      <c r="C186">
        <v>80</v>
      </c>
      <c r="D186">
        <v>140.00001525878909</v>
      </c>
      <c r="E186" t="s">
        <v>192</v>
      </c>
      <c r="F186">
        <v>54.173133850097663</v>
      </c>
      <c r="G186">
        <v>67.2841796875</v>
      </c>
      <c r="H186">
        <v>121.4573135375977</v>
      </c>
      <c r="I186" s="5" t="str">
        <f t="shared" si="9"/>
        <v>High</v>
      </c>
      <c r="J186" s="5" t="str">
        <f t="shared" si="10"/>
        <v>High</v>
      </c>
      <c r="K186" s="6">
        <f t="shared" si="11"/>
        <v>1</v>
      </c>
    </row>
    <row r="187" spans="1:11" x14ac:dyDescent="0.3">
      <c r="A187" t="s">
        <v>193</v>
      </c>
      <c r="B187">
        <v>60.000003814697273</v>
      </c>
      <c r="C187">
        <v>80</v>
      </c>
      <c r="D187">
        <v>140.00001525878909</v>
      </c>
      <c r="E187" t="s">
        <v>193</v>
      </c>
      <c r="F187">
        <v>51.685939788818359</v>
      </c>
      <c r="G187">
        <v>65.410682678222656</v>
      </c>
      <c r="H187">
        <v>117.0966262817383</v>
      </c>
      <c r="I187" s="5" t="str">
        <f t="shared" si="9"/>
        <v>High</v>
      </c>
      <c r="J187" s="5" t="str">
        <f t="shared" si="10"/>
        <v>High</v>
      </c>
      <c r="K187" s="6">
        <f t="shared" si="11"/>
        <v>1</v>
      </c>
    </row>
    <row r="188" spans="1:11" x14ac:dyDescent="0.3">
      <c r="A188" t="s">
        <v>194</v>
      </c>
      <c r="B188">
        <v>60.000003814697273</v>
      </c>
      <c r="C188">
        <v>80</v>
      </c>
      <c r="D188">
        <v>140.00001525878909</v>
      </c>
      <c r="E188" t="s">
        <v>194</v>
      </c>
      <c r="F188">
        <v>45.561061859130859</v>
      </c>
      <c r="G188">
        <v>64.20782470703125</v>
      </c>
      <c r="H188">
        <v>109.7688903808594</v>
      </c>
      <c r="I188" s="5" t="str">
        <f t="shared" si="9"/>
        <v>High</v>
      </c>
      <c r="J188" s="5" t="str">
        <f t="shared" si="10"/>
        <v>High</v>
      </c>
      <c r="K188" s="6">
        <f t="shared" si="11"/>
        <v>0</v>
      </c>
    </row>
    <row r="189" spans="1:11" x14ac:dyDescent="0.3">
      <c r="A189" t="s">
        <v>195</v>
      </c>
      <c r="B189">
        <v>60.000003814697273</v>
      </c>
      <c r="C189">
        <v>80</v>
      </c>
      <c r="D189">
        <v>140.00001525878909</v>
      </c>
      <c r="E189" t="s">
        <v>195</v>
      </c>
      <c r="F189">
        <v>36.406147003173828</v>
      </c>
      <c r="G189">
        <v>55.728256225585938</v>
      </c>
      <c r="H189">
        <v>92.134407043457031</v>
      </c>
      <c r="I189" s="5" t="str">
        <f t="shared" si="9"/>
        <v>High</v>
      </c>
      <c r="J189" s="5" t="str">
        <f t="shared" si="10"/>
        <v>High</v>
      </c>
      <c r="K189" s="6">
        <f t="shared" si="11"/>
        <v>0</v>
      </c>
    </row>
    <row r="190" spans="1:11" x14ac:dyDescent="0.3">
      <c r="A190" t="s">
        <v>196</v>
      </c>
      <c r="B190">
        <v>60.000003814697273</v>
      </c>
      <c r="C190">
        <v>80</v>
      </c>
      <c r="D190">
        <v>140.00001525878909</v>
      </c>
      <c r="E190" t="s">
        <v>196</v>
      </c>
      <c r="F190">
        <v>48.287853240966797</v>
      </c>
      <c r="G190">
        <v>61.922805786132813</v>
      </c>
      <c r="H190">
        <v>110.2106552124023</v>
      </c>
      <c r="I190" s="5" t="str">
        <f t="shared" si="9"/>
        <v>High</v>
      </c>
      <c r="J190" s="5" t="str">
        <f t="shared" si="10"/>
        <v>High</v>
      </c>
      <c r="K190" s="6">
        <f t="shared" si="11"/>
        <v>1</v>
      </c>
    </row>
    <row r="191" spans="1:11" x14ac:dyDescent="0.3">
      <c r="A191" t="s">
        <v>197</v>
      </c>
      <c r="B191">
        <v>90</v>
      </c>
      <c r="C191">
        <v>90</v>
      </c>
      <c r="D191">
        <v>180</v>
      </c>
      <c r="E191" t="s">
        <v>197</v>
      </c>
      <c r="F191">
        <v>46.037441253662109</v>
      </c>
      <c r="G191">
        <v>61.364425659179688</v>
      </c>
      <c r="H191">
        <v>107.40187072753911</v>
      </c>
      <c r="I191" s="5" t="str">
        <f t="shared" si="9"/>
        <v>High</v>
      </c>
      <c r="J191" s="5" t="str">
        <f t="shared" si="10"/>
        <v>High</v>
      </c>
      <c r="K191" s="6">
        <f t="shared" si="11"/>
        <v>0</v>
      </c>
    </row>
    <row r="192" spans="1:11" x14ac:dyDescent="0.3">
      <c r="A192" t="s">
        <v>198</v>
      </c>
      <c r="B192">
        <v>90</v>
      </c>
      <c r="C192">
        <v>90</v>
      </c>
      <c r="D192">
        <v>180</v>
      </c>
      <c r="E192" t="s">
        <v>198</v>
      </c>
      <c r="F192">
        <v>43.640281677246087</v>
      </c>
      <c r="G192">
        <v>56.065963745117188</v>
      </c>
      <c r="H192">
        <v>99.706245422363281</v>
      </c>
      <c r="I192" s="5" t="str">
        <f t="shared" si="9"/>
        <v>High</v>
      </c>
      <c r="J192" s="5" t="str">
        <f t="shared" si="10"/>
        <v>High</v>
      </c>
      <c r="K192" s="6">
        <f t="shared" si="11"/>
        <v>0</v>
      </c>
    </row>
    <row r="193" spans="1:11" x14ac:dyDescent="0.3">
      <c r="A193" t="s">
        <v>199</v>
      </c>
      <c r="B193">
        <v>90</v>
      </c>
      <c r="C193">
        <v>90</v>
      </c>
      <c r="D193">
        <v>180</v>
      </c>
      <c r="E193" t="s">
        <v>199</v>
      </c>
      <c r="F193">
        <v>44.880828857421882</v>
      </c>
      <c r="G193">
        <v>69.053855895996094</v>
      </c>
      <c r="H193">
        <v>113.934684753418</v>
      </c>
      <c r="I193" s="5" t="str">
        <f t="shared" si="9"/>
        <v>High</v>
      </c>
      <c r="J193" s="5" t="str">
        <f t="shared" si="10"/>
        <v>High</v>
      </c>
      <c r="K193" s="6">
        <f t="shared" si="11"/>
        <v>0</v>
      </c>
    </row>
    <row r="194" spans="1:11" x14ac:dyDescent="0.3">
      <c r="A194" t="s">
        <v>200</v>
      </c>
      <c r="B194">
        <v>90</v>
      </c>
      <c r="C194">
        <v>90</v>
      </c>
      <c r="D194">
        <v>180</v>
      </c>
      <c r="E194" t="s">
        <v>200</v>
      </c>
      <c r="F194">
        <v>44.487384796142578</v>
      </c>
      <c r="G194">
        <v>49.431011199951172</v>
      </c>
      <c r="H194">
        <v>93.91839599609375</v>
      </c>
      <c r="I194" s="5" t="str">
        <f t="shared" si="9"/>
        <v>High</v>
      </c>
      <c r="J194" s="5" t="str">
        <f t="shared" si="10"/>
        <v>High</v>
      </c>
      <c r="K194" s="6">
        <f t="shared" si="11"/>
        <v>0</v>
      </c>
    </row>
    <row r="195" spans="1:11" x14ac:dyDescent="0.3">
      <c r="A195" t="s">
        <v>201</v>
      </c>
      <c r="B195">
        <v>90</v>
      </c>
      <c r="C195">
        <v>90</v>
      </c>
      <c r="D195">
        <v>180</v>
      </c>
      <c r="E195" t="s">
        <v>201</v>
      </c>
      <c r="F195">
        <v>41.045097351074219</v>
      </c>
      <c r="G195">
        <v>46.555908203125</v>
      </c>
      <c r="H195">
        <v>87.601005554199219</v>
      </c>
      <c r="I195" s="5" t="str">
        <f t="shared" si="9"/>
        <v>High</v>
      </c>
      <c r="J195" s="5" t="str">
        <f t="shared" si="10"/>
        <v>High</v>
      </c>
      <c r="K195" s="6">
        <f t="shared" si="11"/>
        <v>0</v>
      </c>
    </row>
    <row r="196" spans="1:11" x14ac:dyDescent="0.3">
      <c r="A196" t="s">
        <v>202</v>
      </c>
      <c r="B196">
        <v>90</v>
      </c>
      <c r="C196">
        <v>90</v>
      </c>
      <c r="D196">
        <v>180</v>
      </c>
      <c r="E196" t="s">
        <v>202</v>
      </c>
      <c r="F196">
        <v>42.311100006103523</v>
      </c>
      <c r="G196">
        <v>44.982807159423828</v>
      </c>
      <c r="H196">
        <v>87.293914794921875</v>
      </c>
      <c r="I196" s="5" t="str">
        <f t="shared" si="9"/>
        <v>High</v>
      </c>
      <c r="J196" s="5" t="str">
        <f t="shared" si="10"/>
        <v>High</v>
      </c>
      <c r="K196" s="6">
        <f t="shared" si="11"/>
        <v>0</v>
      </c>
    </row>
    <row r="197" spans="1:11" x14ac:dyDescent="0.3">
      <c r="A197" t="s">
        <v>203</v>
      </c>
      <c r="B197">
        <v>50</v>
      </c>
      <c r="C197">
        <v>70</v>
      </c>
      <c r="D197">
        <v>120.0000076293945</v>
      </c>
      <c r="E197" t="s">
        <v>203</v>
      </c>
      <c r="F197">
        <v>39.394142150878913</v>
      </c>
      <c r="G197">
        <v>41.598320007324219</v>
      </c>
      <c r="H197">
        <v>80.992462158203125</v>
      </c>
      <c r="I197" s="5" t="str">
        <f t="shared" ref="I197:I260" si="12" xml:space="preserve"> IF(D197 &lt;= 39, "Low",
               IF(D197 &lt;= 69, "Medium", "High"))</f>
        <v>High</v>
      </c>
      <c r="J197" s="5" t="str">
        <f t="shared" ref="J197:J260" si="13" xml:space="preserve"> IF(H197 &lt;= 39, "Low",
               IF(H197 &lt;= 69, "Medium", "High"))</f>
        <v>High</v>
      </c>
      <c r="K197" s="6">
        <f t="shared" ref="K197:K260" si="14" xml:space="preserve"> IF(ABS(D197 - H197) &lt;= 30, 1, 0)</f>
        <v>0</v>
      </c>
    </row>
    <row r="198" spans="1:11" x14ac:dyDescent="0.3">
      <c r="A198" t="s">
        <v>204</v>
      </c>
      <c r="B198">
        <v>50</v>
      </c>
      <c r="C198">
        <v>70</v>
      </c>
      <c r="D198">
        <v>120.0000076293945</v>
      </c>
      <c r="E198" t="s">
        <v>204</v>
      </c>
      <c r="F198">
        <v>46.108139038085938</v>
      </c>
      <c r="G198">
        <v>50.696598052978523</v>
      </c>
      <c r="H198">
        <v>96.804740905761719</v>
      </c>
      <c r="I198" s="5" t="str">
        <f t="shared" si="12"/>
        <v>High</v>
      </c>
      <c r="J198" s="5" t="str">
        <f t="shared" si="13"/>
        <v>High</v>
      </c>
      <c r="K198" s="6">
        <f t="shared" si="14"/>
        <v>1</v>
      </c>
    </row>
    <row r="199" spans="1:11" x14ac:dyDescent="0.3">
      <c r="A199" t="s">
        <v>205</v>
      </c>
      <c r="B199">
        <v>50</v>
      </c>
      <c r="C199">
        <v>70</v>
      </c>
      <c r="D199">
        <v>120.0000076293945</v>
      </c>
      <c r="E199" t="s">
        <v>205</v>
      </c>
      <c r="F199">
        <v>41.155364990234382</v>
      </c>
      <c r="G199">
        <v>40.456302642822273</v>
      </c>
      <c r="H199">
        <v>81.611671447753906</v>
      </c>
      <c r="I199" s="5" t="str">
        <f t="shared" si="12"/>
        <v>High</v>
      </c>
      <c r="J199" s="5" t="str">
        <f t="shared" si="13"/>
        <v>High</v>
      </c>
      <c r="K199" s="6">
        <f t="shared" si="14"/>
        <v>0</v>
      </c>
    </row>
    <row r="200" spans="1:11" x14ac:dyDescent="0.3">
      <c r="A200" t="s">
        <v>206</v>
      </c>
      <c r="B200">
        <v>50</v>
      </c>
      <c r="C200">
        <v>70</v>
      </c>
      <c r="D200">
        <v>120.0000076293945</v>
      </c>
      <c r="E200" t="s">
        <v>206</v>
      </c>
      <c r="F200">
        <v>44.874340057373047</v>
      </c>
      <c r="G200">
        <v>31.69362831115723</v>
      </c>
      <c r="H200">
        <v>76.567970275878906</v>
      </c>
      <c r="I200" s="5" t="str">
        <f t="shared" si="12"/>
        <v>High</v>
      </c>
      <c r="J200" s="5" t="str">
        <f t="shared" si="13"/>
        <v>High</v>
      </c>
      <c r="K200" s="6">
        <f t="shared" si="14"/>
        <v>0</v>
      </c>
    </row>
    <row r="201" spans="1:11" x14ac:dyDescent="0.3">
      <c r="A201" t="s">
        <v>207</v>
      </c>
      <c r="B201">
        <v>50</v>
      </c>
      <c r="C201">
        <v>70</v>
      </c>
      <c r="D201">
        <v>120.0000076293945</v>
      </c>
      <c r="E201" t="s">
        <v>207</v>
      </c>
      <c r="F201">
        <v>50.504608154296882</v>
      </c>
      <c r="G201">
        <v>62.965232849121087</v>
      </c>
      <c r="H201">
        <v>113.469841003418</v>
      </c>
      <c r="I201" s="5" t="str">
        <f t="shared" si="12"/>
        <v>High</v>
      </c>
      <c r="J201" s="5" t="str">
        <f t="shared" si="13"/>
        <v>High</v>
      </c>
      <c r="K201" s="6">
        <f t="shared" si="14"/>
        <v>1</v>
      </c>
    </row>
    <row r="202" spans="1:11" x14ac:dyDescent="0.3">
      <c r="A202" t="s">
        <v>208</v>
      </c>
      <c r="B202">
        <v>50</v>
      </c>
      <c r="C202">
        <v>70</v>
      </c>
      <c r="D202">
        <v>120.0000076293945</v>
      </c>
      <c r="E202" t="s">
        <v>208</v>
      </c>
      <c r="F202">
        <v>52.124893188476563</v>
      </c>
      <c r="G202">
        <v>50.594062805175781</v>
      </c>
      <c r="H202">
        <v>102.7189483642578</v>
      </c>
      <c r="I202" s="5" t="str">
        <f t="shared" si="12"/>
        <v>High</v>
      </c>
      <c r="J202" s="5" t="str">
        <f t="shared" si="13"/>
        <v>High</v>
      </c>
      <c r="K202" s="6">
        <f t="shared" si="14"/>
        <v>1</v>
      </c>
    </row>
    <row r="203" spans="1:11" x14ac:dyDescent="0.3">
      <c r="A203" t="s">
        <v>209</v>
      </c>
      <c r="B203">
        <v>50</v>
      </c>
      <c r="C203">
        <v>60.000003814697273</v>
      </c>
      <c r="D203">
        <v>110</v>
      </c>
      <c r="E203" t="s">
        <v>209</v>
      </c>
      <c r="F203">
        <v>50.956951141357422</v>
      </c>
      <c r="G203">
        <v>67.315193176269531</v>
      </c>
      <c r="H203">
        <v>118.2721405029297</v>
      </c>
      <c r="I203" s="5" t="str">
        <f t="shared" si="12"/>
        <v>High</v>
      </c>
      <c r="J203" s="5" t="str">
        <f t="shared" si="13"/>
        <v>High</v>
      </c>
      <c r="K203" s="6">
        <f t="shared" si="14"/>
        <v>1</v>
      </c>
    </row>
    <row r="204" spans="1:11" x14ac:dyDescent="0.3">
      <c r="A204" t="s">
        <v>210</v>
      </c>
      <c r="B204">
        <v>50</v>
      </c>
      <c r="C204">
        <v>60.000003814697273</v>
      </c>
      <c r="D204">
        <v>110</v>
      </c>
      <c r="E204" t="s">
        <v>210</v>
      </c>
      <c r="F204">
        <v>43.722721099853523</v>
      </c>
      <c r="G204">
        <v>37.308383941650391</v>
      </c>
      <c r="H204">
        <v>81.031105041503906</v>
      </c>
      <c r="I204" s="5" t="str">
        <f t="shared" si="12"/>
        <v>High</v>
      </c>
      <c r="J204" s="5" t="str">
        <f t="shared" si="13"/>
        <v>High</v>
      </c>
      <c r="K204" s="6">
        <f t="shared" si="14"/>
        <v>1</v>
      </c>
    </row>
    <row r="205" spans="1:11" x14ac:dyDescent="0.3">
      <c r="A205" t="s">
        <v>211</v>
      </c>
      <c r="B205">
        <v>50</v>
      </c>
      <c r="C205">
        <v>60.000003814697273</v>
      </c>
      <c r="D205">
        <v>110</v>
      </c>
      <c r="E205" t="s">
        <v>211</v>
      </c>
      <c r="F205">
        <v>54.820449829101563</v>
      </c>
      <c r="G205">
        <v>60.700469970703118</v>
      </c>
      <c r="H205">
        <v>115.5209197998047</v>
      </c>
      <c r="I205" s="5" t="str">
        <f t="shared" si="12"/>
        <v>High</v>
      </c>
      <c r="J205" s="5" t="str">
        <f t="shared" si="13"/>
        <v>High</v>
      </c>
      <c r="K205" s="6">
        <f t="shared" si="14"/>
        <v>1</v>
      </c>
    </row>
    <row r="206" spans="1:11" x14ac:dyDescent="0.3">
      <c r="A206" t="s">
        <v>212</v>
      </c>
      <c r="B206">
        <v>50</v>
      </c>
      <c r="C206">
        <v>60.000003814697273</v>
      </c>
      <c r="D206">
        <v>110</v>
      </c>
      <c r="E206" t="s">
        <v>212</v>
      </c>
      <c r="F206">
        <v>49.782093048095703</v>
      </c>
      <c r="G206">
        <v>65.795722961425781</v>
      </c>
      <c r="H206">
        <v>115.57781982421881</v>
      </c>
      <c r="I206" s="5" t="str">
        <f t="shared" si="12"/>
        <v>High</v>
      </c>
      <c r="J206" s="5" t="str">
        <f t="shared" si="13"/>
        <v>High</v>
      </c>
      <c r="K206" s="6">
        <f t="shared" si="14"/>
        <v>1</v>
      </c>
    </row>
    <row r="207" spans="1:11" x14ac:dyDescent="0.3">
      <c r="A207" t="s">
        <v>213</v>
      </c>
      <c r="B207">
        <v>50</v>
      </c>
      <c r="C207">
        <v>60.000003814697273</v>
      </c>
      <c r="D207">
        <v>110</v>
      </c>
      <c r="E207" t="s">
        <v>213</v>
      </c>
      <c r="F207">
        <v>45.073570251464837</v>
      </c>
      <c r="G207">
        <v>56.517261505126953</v>
      </c>
      <c r="H207">
        <v>101.59083557128911</v>
      </c>
      <c r="I207" s="5" t="str">
        <f t="shared" si="12"/>
        <v>High</v>
      </c>
      <c r="J207" s="5" t="str">
        <f t="shared" si="13"/>
        <v>High</v>
      </c>
      <c r="K207" s="6">
        <f t="shared" si="14"/>
        <v>1</v>
      </c>
    </row>
    <row r="208" spans="1:11" x14ac:dyDescent="0.3">
      <c r="A208" t="s">
        <v>214</v>
      </c>
      <c r="B208">
        <v>50</v>
      </c>
      <c r="C208">
        <v>60.000003814697273</v>
      </c>
      <c r="D208">
        <v>110</v>
      </c>
      <c r="E208" t="s">
        <v>214</v>
      </c>
      <c r="F208">
        <v>47.926639556884773</v>
      </c>
      <c r="G208">
        <v>62.231327056884773</v>
      </c>
      <c r="H208">
        <v>110.1579666137695</v>
      </c>
      <c r="I208" s="5" t="str">
        <f t="shared" si="12"/>
        <v>High</v>
      </c>
      <c r="J208" s="5" t="str">
        <f t="shared" si="13"/>
        <v>High</v>
      </c>
      <c r="K208" s="6">
        <f t="shared" si="14"/>
        <v>1</v>
      </c>
    </row>
    <row r="209" spans="1:11" x14ac:dyDescent="0.3">
      <c r="A209" t="s">
        <v>215</v>
      </c>
      <c r="B209">
        <v>40</v>
      </c>
      <c r="C209">
        <v>80</v>
      </c>
      <c r="D209">
        <v>120.0000076293945</v>
      </c>
      <c r="E209" t="s">
        <v>215</v>
      </c>
      <c r="F209">
        <v>46.238754272460938</v>
      </c>
      <c r="G209">
        <v>63.565052032470703</v>
      </c>
      <c r="H209">
        <v>109.80381011962891</v>
      </c>
      <c r="I209" s="5" t="str">
        <f t="shared" si="12"/>
        <v>High</v>
      </c>
      <c r="J209" s="5" t="str">
        <f t="shared" si="13"/>
        <v>High</v>
      </c>
      <c r="K209" s="6">
        <f t="shared" si="14"/>
        <v>1</v>
      </c>
    </row>
    <row r="210" spans="1:11" x14ac:dyDescent="0.3">
      <c r="A210" t="s">
        <v>216</v>
      </c>
      <c r="B210">
        <v>40</v>
      </c>
      <c r="C210">
        <v>80</v>
      </c>
      <c r="D210">
        <v>120.0000076293945</v>
      </c>
      <c r="E210" t="s">
        <v>216</v>
      </c>
      <c r="F210">
        <v>44.219352722167969</v>
      </c>
      <c r="G210">
        <v>57.599086761474609</v>
      </c>
      <c r="H210">
        <v>101.8184432983398</v>
      </c>
      <c r="I210" s="5" t="str">
        <f t="shared" si="12"/>
        <v>High</v>
      </c>
      <c r="J210" s="5" t="str">
        <f t="shared" si="13"/>
        <v>High</v>
      </c>
      <c r="K210" s="6">
        <f t="shared" si="14"/>
        <v>1</v>
      </c>
    </row>
    <row r="211" spans="1:11" x14ac:dyDescent="0.3">
      <c r="A211" t="s">
        <v>217</v>
      </c>
      <c r="B211">
        <v>40</v>
      </c>
      <c r="C211">
        <v>80</v>
      </c>
      <c r="D211">
        <v>120.0000076293945</v>
      </c>
      <c r="E211" t="s">
        <v>217</v>
      </c>
      <c r="F211">
        <v>49.249900817871087</v>
      </c>
      <c r="G211">
        <v>64.967575073242188</v>
      </c>
      <c r="H211">
        <v>114.21746826171881</v>
      </c>
      <c r="I211" s="5" t="str">
        <f t="shared" si="12"/>
        <v>High</v>
      </c>
      <c r="J211" s="5" t="str">
        <f t="shared" si="13"/>
        <v>High</v>
      </c>
      <c r="K211" s="6">
        <f t="shared" si="14"/>
        <v>1</v>
      </c>
    </row>
    <row r="212" spans="1:11" x14ac:dyDescent="0.3">
      <c r="A212" t="s">
        <v>218</v>
      </c>
      <c r="B212">
        <v>40</v>
      </c>
      <c r="C212">
        <v>80</v>
      </c>
      <c r="D212">
        <v>120.0000076293945</v>
      </c>
      <c r="E212" t="s">
        <v>218</v>
      </c>
      <c r="F212">
        <v>47.064704895019531</v>
      </c>
      <c r="G212">
        <v>53.729938507080078</v>
      </c>
      <c r="H212">
        <v>100.7946472167969</v>
      </c>
      <c r="I212" s="5" t="str">
        <f t="shared" si="12"/>
        <v>High</v>
      </c>
      <c r="J212" s="5" t="str">
        <f t="shared" si="13"/>
        <v>High</v>
      </c>
      <c r="K212" s="6">
        <f t="shared" si="14"/>
        <v>1</v>
      </c>
    </row>
    <row r="213" spans="1:11" x14ac:dyDescent="0.3">
      <c r="A213" t="s">
        <v>219</v>
      </c>
      <c r="B213">
        <v>40</v>
      </c>
      <c r="C213">
        <v>80</v>
      </c>
      <c r="D213">
        <v>120.0000076293945</v>
      </c>
      <c r="E213" t="s">
        <v>219</v>
      </c>
      <c r="F213">
        <v>43.627403259277337</v>
      </c>
      <c r="G213">
        <v>47.877178192138672</v>
      </c>
      <c r="H213">
        <v>91.504585266113281</v>
      </c>
      <c r="I213" s="5" t="str">
        <f t="shared" si="12"/>
        <v>High</v>
      </c>
      <c r="J213" s="5" t="str">
        <f t="shared" si="13"/>
        <v>High</v>
      </c>
      <c r="K213" s="6">
        <f t="shared" si="14"/>
        <v>1</v>
      </c>
    </row>
    <row r="214" spans="1:11" x14ac:dyDescent="0.3">
      <c r="A214" t="s">
        <v>220</v>
      </c>
      <c r="B214">
        <v>40</v>
      </c>
      <c r="C214">
        <v>80</v>
      </c>
      <c r="D214">
        <v>120.0000076293945</v>
      </c>
      <c r="E214" t="s">
        <v>220</v>
      </c>
      <c r="F214">
        <v>43.662654876708977</v>
      </c>
      <c r="G214">
        <v>49.042190551757813</v>
      </c>
      <c r="H214">
        <v>92.704841613769531</v>
      </c>
      <c r="I214" s="5" t="str">
        <f t="shared" si="12"/>
        <v>High</v>
      </c>
      <c r="J214" s="5" t="str">
        <f t="shared" si="13"/>
        <v>High</v>
      </c>
      <c r="K214" s="6">
        <f t="shared" si="14"/>
        <v>1</v>
      </c>
    </row>
    <row r="215" spans="1:11" x14ac:dyDescent="0.3">
      <c r="A215" t="s">
        <v>221</v>
      </c>
      <c r="B215">
        <v>30.000001907348629</v>
      </c>
      <c r="C215">
        <v>50</v>
      </c>
      <c r="D215">
        <v>80</v>
      </c>
      <c r="E215" t="s">
        <v>221</v>
      </c>
      <c r="F215">
        <v>45.745773315429688</v>
      </c>
      <c r="G215">
        <v>52.966201782226563</v>
      </c>
      <c r="H215">
        <v>98.71197509765625</v>
      </c>
      <c r="I215" s="5" t="str">
        <f t="shared" si="12"/>
        <v>High</v>
      </c>
      <c r="J215" s="5" t="str">
        <f t="shared" si="13"/>
        <v>High</v>
      </c>
      <c r="K215" s="6">
        <f t="shared" si="14"/>
        <v>1</v>
      </c>
    </row>
    <row r="216" spans="1:11" x14ac:dyDescent="0.3">
      <c r="A216" t="s">
        <v>222</v>
      </c>
      <c r="B216">
        <v>30.000001907348629</v>
      </c>
      <c r="C216">
        <v>50</v>
      </c>
      <c r="D216">
        <v>80</v>
      </c>
      <c r="E216" t="s">
        <v>222</v>
      </c>
      <c r="F216">
        <v>40.116970062255859</v>
      </c>
      <c r="G216">
        <v>39.417457580566413</v>
      </c>
      <c r="H216">
        <v>79.534423828125</v>
      </c>
      <c r="I216" s="5" t="str">
        <f t="shared" si="12"/>
        <v>High</v>
      </c>
      <c r="J216" s="5" t="str">
        <f t="shared" si="13"/>
        <v>High</v>
      </c>
      <c r="K216" s="6">
        <f t="shared" si="14"/>
        <v>1</v>
      </c>
    </row>
    <row r="217" spans="1:11" x14ac:dyDescent="0.3">
      <c r="A217" t="s">
        <v>223</v>
      </c>
      <c r="B217">
        <v>30.000001907348629</v>
      </c>
      <c r="C217">
        <v>50</v>
      </c>
      <c r="D217">
        <v>80</v>
      </c>
      <c r="E217" t="s">
        <v>223</v>
      </c>
      <c r="F217">
        <v>51.234752655029297</v>
      </c>
      <c r="G217">
        <v>58.484691619873047</v>
      </c>
      <c r="H217">
        <v>109.7194442749023</v>
      </c>
      <c r="I217" s="5" t="str">
        <f t="shared" si="12"/>
        <v>High</v>
      </c>
      <c r="J217" s="5" t="str">
        <f t="shared" si="13"/>
        <v>High</v>
      </c>
      <c r="K217" s="6">
        <f t="shared" si="14"/>
        <v>1</v>
      </c>
    </row>
    <row r="218" spans="1:11" x14ac:dyDescent="0.3">
      <c r="A218" t="s">
        <v>224</v>
      </c>
      <c r="B218">
        <v>30.000001907348629</v>
      </c>
      <c r="C218">
        <v>50</v>
      </c>
      <c r="D218">
        <v>80</v>
      </c>
      <c r="E218" t="s">
        <v>224</v>
      </c>
      <c r="F218">
        <v>51.14892578125</v>
      </c>
      <c r="G218">
        <v>57.300365447998047</v>
      </c>
      <c r="H218">
        <v>108.4492950439453</v>
      </c>
      <c r="I218" s="5" t="str">
        <f t="shared" si="12"/>
        <v>High</v>
      </c>
      <c r="J218" s="5" t="str">
        <f t="shared" si="13"/>
        <v>High</v>
      </c>
      <c r="K218" s="6">
        <f t="shared" si="14"/>
        <v>1</v>
      </c>
    </row>
    <row r="219" spans="1:11" x14ac:dyDescent="0.3">
      <c r="A219" t="s">
        <v>225</v>
      </c>
      <c r="B219">
        <v>30.000001907348629</v>
      </c>
      <c r="C219">
        <v>50</v>
      </c>
      <c r="D219">
        <v>80</v>
      </c>
      <c r="E219" t="s">
        <v>225</v>
      </c>
      <c r="F219">
        <v>44.390895843505859</v>
      </c>
      <c r="G219">
        <v>45.835941314697273</v>
      </c>
      <c r="H219">
        <v>90.226837158203125</v>
      </c>
      <c r="I219" s="5" t="str">
        <f t="shared" si="12"/>
        <v>High</v>
      </c>
      <c r="J219" s="5" t="str">
        <f t="shared" si="13"/>
        <v>High</v>
      </c>
      <c r="K219" s="6">
        <f t="shared" si="14"/>
        <v>1</v>
      </c>
    </row>
    <row r="220" spans="1:11" x14ac:dyDescent="0.3">
      <c r="A220" t="s">
        <v>226</v>
      </c>
      <c r="B220">
        <v>30.000001907348629</v>
      </c>
      <c r="C220">
        <v>50</v>
      </c>
      <c r="D220">
        <v>80</v>
      </c>
      <c r="E220" t="s">
        <v>226</v>
      </c>
      <c r="F220">
        <v>47.861785888671882</v>
      </c>
      <c r="G220">
        <v>50.111495971679688</v>
      </c>
      <c r="H220">
        <v>97.973289489746094</v>
      </c>
      <c r="I220" s="5" t="str">
        <f t="shared" si="12"/>
        <v>High</v>
      </c>
      <c r="J220" s="5" t="str">
        <f t="shared" si="13"/>
        <v>High</v>
      </c>
      <c r="K220" s="6">
        <f t="shared" si="14"/>
        <v>1</v>
      </c>
    </row>
    <row r="221" spans="1:11" x14ac:dyDescent="0.3">
      <c r="A221" t="s">
        <v>227</v>
      </c>
      <c r="B221">
        <v>80</v>
      </c>
      <c r="C221">
        <v>40</v>
      </c>
      <c r="D221">
        <v>120.0000076293945</v>
      </c>
      <c r="E221" t="s">
        <v>227</v>
      </c>
      <c r="F221">
        <v>43.628387451171882</v>
      </c>
      <c r="G221">
        <v>47.436630249023438</v>
      </c>
      <c r="H221">
        <v>91.065010070800781</v>
      </c>
      <c r="I221" s="5" t="str">
        <f t="shared" si="12"/>
        <v>High</v>
      </c>
      <c r="J221" s="5" t="str">
        <f t="shared" si="13"/>
        <v>High</v>
      </c>
      <c r="K221" s="6">
        <f t="shared" si="14"/>
        <v>1</v>
      </c>
    </row>
    <row r="222" spans="1:11" x14ac:dyDescent="0.3">
      <c r="A222" t="s">
        <v>228</v>
      </c>
      <c r="B222">
        <v>80</v>
      </c>
      <c r="C222">
        <v>40</v>
      </c>
      <c r="D222">
        <v>120.0000076293945</v>
      </c>
      <c r="E222" t="s">
        <v>228</v>
      </c>
      <c r="F222">
        <v>46.863178253173828</v>
      </c>
      <c r="G222">
        <v>58.612972259521477</v>
      </c>
      <c r="H222">
        <v>105.4761505126953</v>
      </c>
      <c r="I222" s="5" t="str">
        <f t="shared" si="12"/>
        <v>High</v>
      </c>
      <c r="J222" s="5" t="str">
        <f t="shared" si="13"/>
        <v>High</v>
      </c>
      <c r="K222" s="6">
        <f t="shared" si="14"/>
        <v>1</v>
      </c>
    </row>
    <row r="223" spans="1:11" x14ac:dyDescent="0.3">
      <c r="A223" t="s">
        <v>229</v>
      </c>
      <c r="B223">
        <v>80</v>
      </c>
      <c r="C223">
        <v>40</v>
      </c>
      <c r="D223">
        <v>120.0000076293945</v>
      </c>
      <c r="E223" t="s">
        <v>229</v>
      </c>
      <c r="F223">
        <v>50.92059326171875</v>
      </c>
      <c r="G223">
        <v>59.209709167480469</v>
      </c>
      <c r="H223">
        <v>110.13031005859381</v>
      </c>
      <c r="I223" s="5" t="str">
        <f t="shared" si="12"/>
        <v>High</v>
      </c>
      <c r="J223" s="5" t="str">
        <f t="shared" si="13"/>
        <v>High</v>
      </c>
      <c r="K223" s="6">
        <f t="shared" si="14"/>
        <v>1</v>
      </c>
    </row>
    <row r="224" spans="1:11" x14ac:dyDescent="0.3">
      <c r="A224" t="s">
        <v>230</v>
      </c>
      <c r="B224">
        <v>80</v>
      </c>
      <c r="C224">
        <v>40</v>
      </c>
      <c r="D224">
        <v>120.0000076293945</v>
      </c>
      <c r="E224" t="s">
        <v>230</v>
      </c>
      <c r="F224">
        <v>37.048759460449219</v>
      </c>
      <c r="G224">
        <v>43.125114440917969</v>
      </c>
      <c r="H224">
        <v>80.173873901367188</v>
      </c>
      <c r="I224" s="5" t="str">
        <f t="shared" si="12"/>
        <v>High</v>
      </c>
      <c r="J224" s="5" t="str">
        <f t="shared" si="13"/>
        <v>High</v>
      </c>
      <c r="K224" s="6">
        <f t="shared" si="14"/>
        <v>0</v>
      </c>
    </row>
    <row r="225" spans="1:11" x14ac:dyDescent="0.3">
      <c r="A225" t="s">
        <v>231</v>
      </c>
      <c r="B225">
        <v>80</v>
      </c>
      <c r="C225">
        <v>40</v>
      </c>
      <c r="D225">
        <v>120.0000076293945</v>
      </c>
      <c r="E225" t="s">
        <v>231</v>
      </c>
      <c r="F225">
        <v>42.388896942138672</v>
      </c>
      <c r="G225">
        <v>52.903102874755859</v>
      </c>
      <c r="H225">
        <v>95.2919921875</v>
      </c>
      <c r="I225" s="5" t="str">
        <f t="shared" si="12"/>
        <v>High</v>
      </c>
      <c r="J225" s="5" t="str">
        <f t="shared" si="13"/>
        <v>High</v>
      </c>
      <c r="K225" s="6">
        <f t="shared" si="14"/>
        <v>1</v>
      </c>
    </row>
    <row r="226" spans="1:11" x14ac:dyDescent="0.3">
      <c r="A226" t="s">
        <v>232</v>
      </c>
      <c r="B226">
        <v>80</v>
      </c>
      <c r="C226">
        <v>40</v>
      </c>
      <c r="D226">
        <v>120.0000076293945</v>
      </c>
      <c r="E226" t="s">
        <v>232</v>
      </c>
      <c r="F226">
        <v>43.278835296630859</v>
      </c>
      <c r="G226">
        <v>50.72705078125</v>
      </c>
      <c r="H226">
        <v>94.005882263183594</v>
      </c>
      <c r="I226" s="5" t="str">
        <f t="shared" si="12"/>
        <v>High</v>
      </c>
      <c r="J226" s="5" t="str">
        <f t="shared" si="13"/>
        <v>High</v>
      </c>
      <c r="K226" s="6">
        <f t="shared" si="14"/>
        <v>1</v>
      </c>
    </row>
    <row r="227" spans="1:11" x14ac:dyDescent="0.3">
      <c r="A227" t="s">
        <v>233</v>
      </c>
      <c r="B227">
        <v>40</v>
      </c>
      <c r="C227">
        <v>90</v>
      </c>
      <c r="D227">
        <v>130</v>
      </c>
      <c r="E227" t="s">
        <v>233</v>
      </c>
      <c r="F227">
        <v>43.692062377929688</v>
      </c>
      <c r="G227">
        <v>56.144119262695313</v>
      </c>
      <c r="H227">
        <v>99.836181640625</v>
      </c>
      <c r="I227" s="5" t="str">
        <f t="shared" si="12"/>
        <v>High</v>
      </c>
      <c r="J227" s="5" t="str">
        <f t="shared" si="13"/>
        <v>High</v>
      </c>
      <c r="K227" s="6">
        <f t="shared" si="14"/>
        <v>0</v>
      </c>
    </row>
    <row r="228" spans="1:11" x14ac:dyDescent="0.3">
      <c r="A228" t="s">
        <v>234</v>
      </c>
      <c r="B228">
        <v>40</v>
      </c>
      <c r="C228">
        <v>90</v>
      </c>
      <c r="D228">
        <v>130</v>
      </c>
      <c r="E228" t="s">
        <v>234</v>
      </c>
      <c r="F228">
        <v>36.760459899902337</v>
      </c>
      <c r="G228">
        <v>59.437953948974609</v>
      </c>
      <c r="H228">
        <v>96.198417663574219</v>
      </c>
      <c r="I228" s="5" t="str">
        <f t="shared" si="12"/>
        <v>High</v>
      </c>
      <c r="J228" s="5" t="str">
        <f t="shared" si="13"/>
        <v>High</v>
      </c>
      <c r="K228" s="6">
        <f t="shared" si="14"/>
        <v>0</v>
      </c>
    </row>
    <row r="229" spans="1:11" x14ac:dyDescent="0.3">
      <c r="A229" t="s">
        <v>235</v>
      </c>
      <c r="B229">
        <v>40</v>
      </c>
      <c r="C229">
        <v>90</v>
      </c>
      <c r="D229">
        <v>130</v>
      </c>
      <c r="E229" t="s">
        <v>235</v>
      </c>
      <c r="F229">
        <v>45.617424011230469</v>
      </c>
      <c r="G229">
        <v>57.488788604736328</v>
      </c>
      <c r="H229">
        <v>103.10621643066411</v>
      </c>
      <c r="I229" s="5" t="str">
        <f t="shared" si="12"/>
        <v>High</v>
      </c>
      <c r="J229" s="5" t="str">
        <f t="shared" si="13"/>
        <v>High</v>
      </c>
      <c r="K229" s="6">
        <f t="shared" si="14"/>
        <v>1</v>
      </c>
    </row>
    <row r="230" spans="1:11" x14ac:dyDescent="0.3">
      <c r="A230" t="s">
        <v>236</v>
      </c>
      <c r="B230">
        <v>40</v>
      </c>
      <c r="C230">
        <v>90</v>
      </c>
      <c r="D230">
        <v>130</v>
      </c>
      <c r="E230" t="s">
        <v>236</v>
      </c>
      <c r="F230">
        <v>43.607749938964837</v>
      </c>
      <c r="G230">
        <v>52.045867919921882</v>
      </c>
      <c r="H230">
        <v>95.653617858886719</v>
      </c>
      <c r="I230" s="5" t="str">
        <f t="shared" si="12"/>
        <v>High</v>
      </c>
      <c r="J230" s="5" t="str">
        <f t="shared" si="13"/>
        <v>High</v>
      </c>
      <c r="K230" s="6">
        <f t="shared" si="14"/>
        <v>0</v>
      </c>
    </row>
    <row r="231" spans="1:11" x14ac:dyDescent="0.3">
      <c r="A231" t="s">
        <v>237</v>
      </c>
      <c r="B231">
        <v>40</v>
      </c>
      <c r="C231">
        <v>90</v>
      </c>
      <c r="D231">
        <v>130</v>
      </c>
      <c r="E231" t="s">
        <v>237</v>
      </c>
      <c r="F231">
        <v>42.376815795898438</v>
      </c>
      <c r="G231">
        <v>46.782497406005859</v>
      </c>
      <c r="H231">
        <v>89.159309387207031</v>
      </c>
      <c r="I231" s="5" t="str">
        <f t="shared" si="12"/>
        <v>High</v>
      </c>
      <c r="J231" s="5" t="str">
        <f t="shared" si="13"/>
        <v>High</v>
      </c>
      <c r="K231" s="6">
        <f t="shared" si="14"/>
        <v>0</v>
      </c>
    </row>
    <row r="232" spans="1:11" x14ac:dyDescent="0.3">
      <c r="A232" t="s">
        <v>238</v>
      </c>
      <c r="B232">
        <v>40</v>
      </c>
      <c r="C232">
        <v>90</v>
      </c>
      <c r="D232">
        <v>130</v>
      </c>
      <c r="E232" t="s">
        <v>238</v>
      </c>
      <c r="F232">
        <v>42.626972198486328</v>
      </c>
      <c r="G232">
        <v>49.420833587646477</v>
      </c>
      <c r="H232">
        <v>92.047813415527344</v>
      </c>
      <c r="I232" s="5" t="str">
        <f t="shared" si="12"/>
        <v>High</v>
      </c>
      <c r="J232" s="5" t="str">
        <f t="shared" si="13"/>
        <v>High</v>
      </c>
      <c r="K232" s="6">
        <f t="shared" si="14"/>
        <v>0</v>
      </c>
    </row>
    <row r="233" spans="1:11" x14ac:dyDescent="0.3">
      <c r="A233" t="s">
        <v>239</v>
      </c>
      <c r="B233">
        <v>60.000003814697273</v>
      </c>
      <c r="C233">
        <v>40</v>
      </c>
      <c r="D233">
        <v>100</v>
      </c>
      <c r="E233" t="s">
        <v>239</v>
      </c>
      <c r="F233">
        <v>39.970321655273438</v>
      </c>
      <c r="G233">
        <v>43.239700317382813</v>
      </c>
      <c r="H233">
        <v>83.210029602050781</v>
      </c>
      <c r="I233" s="5" t="str">
        <f t="shared" si="12"/>
        <v>High</v>
      </c>
      <c r="J233" s="5" t="str">
        <f t="shared" si="13"/>
        <v>High</v>
      </c>
      <c r="K233" s="6">
        <f t="shared" si="14"/>
        <v>1</v>
      </c>
    </row>
    <row r="234" spans="1:11" x14ac:dyDescent="0.3">
      <c r="A234" t="s">
        <v>240</v>
      </c>
      <c r="B234">
        <v>60.000003814697273</v>
      </c>
      <c r="C234">
        <v>40</v>
      </c>
      <c r="D234">
        <v>100</v>
      </c>
      <c r="E234" t="s">
        <v>240</v>
      </c>
      <c r="F234">
        <v>44.638542175292969</v>
      </c>
      <c r="G234">
        <v>46.750957489013672</v>
      </c>
      <c r="H234">
        <v>91.389503479003906</v>
      </c>
      <c r="I234" s="5" t="str">
        <f t="shared" si="12"/>
        <v>High</v>
      </c>
      <c r="J234" s="5" t="str">
        <f t="shared" si="13"/>
        <v>High</v>
      </c>
      <c r="K234" s="6">
        <f t="shared" si="14"/>
        <v>1</v>
      </c>
    </row>
    <row r="235" spans="1:11" x14ac:dyDescent="0.3">
      <c r="A235" t="s">
        <v>241</v>
      </c>
      <c r="B235">
        <v>60.000003814697273</v>
      </c>
      <c r="C235">
        <v>40</v>
      </c>
      <c r="D235">
        <v>100</v>
      </c>
      <c r="E235" t="s">
        <v>241</v>
      </c>
      <c r="F235">
        <v>45.468673706054688</v>
      </c>
      <c r="G235">
        <v>51.125675201416023</v>
      </c>
      <c r="H235">
        <v>96.594345092773438</v>
      </c>
      <c r="I235" s="5" t="str">
        <f t="shared" si="12"/>
        <v>High</v>
      </c>
      <c r="J235" s="5" t="str">
        <f t="shared" si="13"/>
        <v>High</v>
      </c>
      <c r="K235" s="6">
        <f t="shared" si="14"/>
        <v>1</v>
      </c>
    </row>
    <row r="236" spans="1:11" x14ac:dyDescent="0.3">
      <c r="A236" t="s">
        <v>242</v>
      </c>
      <c r="B236">
        <v>60.000003814697273</v>
      </c>
      <c r="C236">
        <v>40</v>
      </c>
      <c r="D236">
        <v>100</v>
      </c>
      <c r="E236" t="s">
        <v>242</v>
      </c>
      <c r="F236">
        <v>51.642303466796882</v>
      </c>
      <c r="G236">
        <v>70.841072082519531</v>
      </c>
      <c r="H236">
        <v>122.48337554931641</v>
      </c>
      <c r="I236" s="5" t="str">
        <f t="shared" si="12"/>
        <v>High</v>
      </c>
      <c r="J236" s="5" t="str">
        <f t="shared" si="13"/>
        <v>High</v>
      </c>
      <c r="K236" s="6">
        <f t="shared" si="14"/>
        <v>1</v>
      </c>
    </row>
    <row r="237" spans="1:11" x14ac:dyDescent="0.3">
      <c r="A237" t="s">
        <v>243</v>
      </c>
      <c r="B237">
        <v>60.000003814697273</v>
      </c>
      <c r="C237">
        <v>40</v>
      </c>
      <c r="D237">
        <v>100</v>
      </c>
      <c r="E237" t="s">
        <v>243</v>
      </c>
      <c r="F237">
        <v>45.451145172119141</v>
      </c>
      <c r="G237">
        <v>61.071788787841797</v>
      </c>
      <c r="H237">
        <v>106.5229415893555</v>
      </c>
      <c r="I237" s="5" t="str">
        <f t="shared" si="12"/>
        <v>High</v>
      </c>
      <c r="J237" s="5" t="str">
        <f t="shared" si="13"/>
        <v>High</v>
      </c>
      <c r="K237" s="6">
        <f t="shared" si="14"/>
        <v>1</v>
      </c>
    </row>
    <row r="238" spans="1:11" x14ac:dyDescent="0.3">
      <c r="A238" t="s">
        <v>244</v>
      </c>
      <c r="B238">
        <v>60.000003814697273</v>
      </c>
      <c r="C238">
        <v>40</v>
      </c>
      <c r="D238">
        <v>100</v>
      </c>
      <c r="E238" t="s">
        <v>244</v>
      </c>
      <c r="F238">
        <v>45.765300750732422</v>
      </c>
      <c r="G238">
        <v>52.056247711181641</v>
      </c>
      <c r="H238">
        <v>97.821548461914063</v>
      </c>
      <c r="I238" s="5" t="str">
        <f t="shared" si="12"/>
        <v>High</v>
      </c>
      <c r="J238" s="5" t="str">
        <f t="shared" si="13"/>
        <v>High</v>
      </c>
      <c r="K238" s="6">
        <f t="shared" si="14"/>
        <v>1</v>
      </c>
    </row>
    <row r="239" spans="1:11" x14ac:dyDescent="0.3">
      <c r="A239" t="s">
        <v>245</v>
      </c>
      <c r="B239">
        <v>40</v>
      </c>
      <c r="C239">
        <v>90</v>
      </c>
      <c r="D239">
        <v>130</v>
      </c>
      <c r="E239" t="s">
        <v>245</v>
      </c>
      <c r="F239">
        <v>59.383827209472663</v>
      </c>
      <c r="G239">
        <v>71.4359130859375</v>
      </c>
      <c r="H239">
        <v>130.8197326660156</v>
      </c>
      <c r="I239" s="5" t="str">
        <f t="shared" si="12"/>
        <v>High</v>
      </c>
      <c r="J239" s="5" t="str">
        <f t="shared" si="13"/>
        <v>High</v>
      </c>
      <c r="K239" s="6">
        <f t="shared" si="14"/>
        <v>1</v>
      </c>
    </row>
    <row r="240" spans="1:11" x14ac:dyDescent="0.3">
      <c r="A240" t="s">
        <v>246</v>
      </c>
      <c r="B240">
        <v>40</v>
      </c>
      <c r="C240">
        <v>90</v>
      </c>
      <c r="D240">
        <v>130</v>
      </c>
      <c r="E240" t="s">
        <v>246</v>
      </c>
      <c r="F240">
        <v>43.801063537597663</v>
      </c>
      <c r="G240">
        <v>52.799617767333977</v>
      </c>
      <c r="H240">
        <v>96.600685119628906</v>
      </c>
      <c r="I240" s="5" t="str">
        <f t="shared" si="12"/>
        <v>High</v>
      </c>
      <c r="J240" s="5" t="str">
        <f t="shared" si="13"/>
        <v>High</v>
      </c>
      <c r="K240" s="6">
        <f t="shared" si="14"/>
        <v>0</v>
      </c>
    </row>
    <row r="241" spans="1:11" x14ac:dyDescent="0.3">
      <c r="A241" t="s">
        <v>247</v>
      </c>
      <c r="B241">
        <v>40</v>
      </c>
      <c r="C241">
        <v>90</v>
      </c>
      <c r="D241">
        <v>130</v>
      </c>
      <c r="E241" t="s">
        <v>247</v>
      </c>
      <c r="F241">
        <v>52.385025024414063</v>
      </c>
      <c r="G241">
        <v>62.704666137695313</v>
      </c>
      <c r="H241">
        <v>115.0896911621094</v>
      </c>
      <c r="I241" s="5" t="str">
        <f t="shared" si="12"/>
        <v>High</v>
      </c>
      <c r="J241" s="5" t="str">
        <f t="shared" si="13"/>
        <v>High</v>
      </c>
      <c r="K241" s="6">
        <f t="shared" si="14"/>
        <v>1</v>
      </c>
    </row>
    <row r="242" spans="1:11" x14ac:dyDescent="0.3">
      <c r="A242" t="s">
        <v>248</v>
      </c>
      <c r="B242">
        <v>40</v>
      </c>
      <c r="C242">
        <v>90</v>
      </c>
      <c r="D242">
        <v>130</v>
      </c>
      <c r="E242" t="s">
        <v>248</v>
      </c>
      <c r="F242">
        <v>52.839183807373047</v>
      </c>
      <c r="G242">
        <v>64.518775939941406</v>
      </c>
      <c r="H242">
        <v>117.3579559326172</v>
      </c>
      <c r="I242" s="5" t="str">
        <f t="shared" si="12"/>
        <v>High</v>
      </c>
      <c r="J242" s="5" t="str">
        <f t="shared" si="13"/>
        <v>High</v>
      </c>
      <c r="K242" s="6">
        <f t="shared" si="14"/>
        <v>1</v>
      </c>
    </row>
    <row r="243" spans="1:11" x14ac:dyDescent="0.3">
      <c r="A243" t="s">
        <v>249</v>
      </c>
      <c r="B243">
        <v>40</v>
      </c>
      <c r="C243">
        <v>90</v>
      </c>
      <c r="D243">
        <v>130</v>
      </c>
      <c r="E243" t="s">
        <v>249</v>
      </c>
      <c r="F243">
        <v>52.767623901367188</v>
      </c>
      <c r="G243">
        <v>69.132705688476563</v>
      </c>
      <c r="H243">
        <v>121.90032958984381</v>
      </c>
      <c r="I243" s="5" t="str">
        <f t="shared" si="12"/>
        <v>High</v>
      </c>
      <c r="J243" s="5" t="str">
        <f t="shared" si="13"/>
        <v>High</v>
      </c>
      <c r="K243" s="6">
        <f t="shared" si="14"/>
        <v>1</v>
      </c>
    </row>
    <row r="244" spans="1:11" x14ac:dyDescent="0.3">
      <c r="A244" t="s">
        <v>250</v>
      </c>
      <c r="B244">
        <v>40</v>
      </c>
      <c r="C244">
        <v>90</v>
      </c>
      <c r="D244">
        <v>130</v>
      </c>
      <c r="E244" t="s">
        <v>250</v>
      </c>
      <c r="F244">
        <v>51.564754486083977</v>
      </c>
      <c r="G244">
        <v>66.975807189941406</v>
      </c>
      <c r="H244">
        <v>118.5405578613281</v>
      </c>
      <c r="I244" s="5" t="str">
        <f t="shared" si="12"/>
        <v>High</v>
      </c>
      <c r="J244" s="5" t="str">
        <f t="shared" si="13"/>
        <v>High</v>
      </c>
      <c r="K244" s="6">
        <f t="shared" si="14"/>
        <v>1</v>
      </c>
    </row>
    <row r="245" spans="1:11" x14ac:dyDescent="0.3">
      <c r="A245" t="s">
        <v>251</v>
      </c>
      <c r="B245">
        <v>90</v>
      </c>
      <c r="C245">
        <v>90</v>
      </c>
      <c r="D245">
        <v>180</v>
      </c>
      <c r="E245" t="s">
        <v>251</v>
      </c>
      <c r="F245">
        <v>34.103305816650391</v>
      </c>
      <c r="G245">
        <v>42.398281097412109</v>
      </c>
      <c r="H245">
        <v>76.5015869140625</v>
      </c>
      <c r="I245" s="5" t="str">
        <f t="shared" si="12"/>
        <v>High</v>
      </c>
      <c r="J245" s="5" t="str">
        <f t="shared" si="13"/>
        <v>High</v>
      </c>
      <c r="K245" s="6">
        <f t="shared" si="14"/>
        <v>0</v>
      </c>
    </row>
    <row r="246" spans="1:11" x14ac:dyDescent="0.3">
      <c r="A246" t="s">
        <v>252</v>
      </c>
      <c r="B246">
        <v>90</v>
      </c>
      <c r="C246">
        <v>90</v>
      </c>
      <c r="D246">
        <v>180</v>
      </c>
      <c r="E246" t="s">
        <v>252</v>
      </c>
      <c r="F246">
        <v>54.905544281005859</v>
      </c>
      <c r="G246">
        <v>70.927391052246094</v>
      </c>
      <c r="H246">
        <v>125.8329391479492</v>
      </c>
      <c r="I246" s="5" t="str">
        <f t="shared" si="12"/>
        <v>High</v>
      </c>
      <c r="J246" s="5" t="str">
        <f t="shared" si="13"/>
        <v>High</v>
      </c>
      <c r="K246" s="6">
        <f t="shared" si="14"/>
        <v>0</v>
      </c>
    </row>
    <row r="247" spans="1:11" x14ac:dyDescent="0.3">
      <c r="A247" t="s">
        <v>253</v>
      </c>
      <c r="B247">
        <v>90</v>
      </c>
      <c r="C247">
        <v>90</v>
      </c>
      <c r="D247">
        <v>180</v>
      </c>
      <c r="E247" t="s">
        <v>253</v>
      </c>
      <c r="F247">
        <v>50.988243103027337</v>
      </c>
      <c r="G247">
        <v>63.529438018798828</v>
      </c>
      <c r="H247">
        <v>114.51768493652339</v>
      </c>
      <c r="I247" s="5" t="str">
        <f t="shared" si="12"/>
        <v>High</v>
      </c>
      <c r="J247" s="5" t="str">
        <f t="shared" si="13"/>
        <v>High</v>
      </c>
      <c r="K247" s="6">
        <f t="shared" si="14"/>
        <v>0</v>
      </c>
    </row>
    <row r="248" spans="1:11" x14ac:dyDescent="0.3">
      <c r="A248" t="s">
        <v>254</v>
      </c>
      <c r="B248">
        <v>90</v>
      </c>
      <c r="C248">
        <v>90</v>
      </c>
      <c r="D248">
        <v>180</v>
      </c>
      <c r="E248" t="s">
        <v>254</v>
      </c>
      <c r="F248">
        <v>59.943588256835938</v>
      </c>
      <c r="G248">
        <v>63.455928802490227</v>
      </c>
      <c r="H248">
        <v>123.39952087402339</v>
      </c>
      <c r="I248" s="5" t="str">
        <f t="shared" si="12"/>
        <v>High</v>
      </c>
      <c r="J248" s="5" t="str">
        <f t="shared" si="13"/>
        <v>High</v>
      </c>
      <c r="K248" s="6">
        <f t="shared" si="14"/>
        <v>0</v>
      </c>
    </row>
    <row r="249" spans="1:11" x14ac:dyDescent="0.3">
      <c r="A249" t="s">
        <v>255</v>
      </c>
      <c r="B249">
        <v>90</v>
      </c>
      <c r="C249">
        <v>90</v>
      </c>
      <c r="D249">
        <v>180</v>
      </c>
      <c r="E249" t="s">
        <v>255</v>
      </c>
      <c r="F249">
        <v>66.760841369628906</v>
      </c>
      <c r="G249">
        <v>82.429489135742188</v>
      </c>
      <c r="H249">
        <v>149.1903381347656</v>
      </c>
      <c r="I249" s="5" t="str">
        <f t="shared" si="12"/>
        <v>High</v>
      </c>
      <c r="J249" s="5" t="str">
        <f t="shared" si="13"/>
        <v>High</v>
      </c>
      <c r="K249" s="6">
        <f t="shared" si="14"/>
        <v>0</v>
      </c>
    </row>
    <row r="250" spans="1:11" x14ac:dyDescent="0.3">
      <c r="A250" t="s">
        <v>256</v>
      </c>
      <c r="B250">
        <v>90</v>
      </c>
      <c r="C250">
        <v>90</v>
      </c>
      <c r="D250">
        <v>180</v>
      </c>
      <c r="E250" t="s">
        <v>256</v>
      </c>
      <c r="F250">
        <v>54.126693725585938</v>
      </c>
      <c r="G250">
        <v>65.953292846679688</v>
      </c>
      <c r="H250">
        <v>120.07997894287109</v>
      </c>
      <c r="I250" s="5" t="str">
        <f t="shared" si="12"/>
        <v>High</v>
      </c>
      <c r="J250" s="5" t="str">
        <f t="shared" si="13"/>
        <v>High</v>
      </c>
      <c r="K250" s="6">
        <f t="shared" si="14"/>
        <v>0</v>
      </c>
    </row>
    <row r="251" spans="1:11" x14ac:dyDescent="0.3">
      <c r="A251" t="s">
        <v>257</v>
      </c>
      <c r="B251">
        <v>90</v>
      </c>
      <c r="C251">
        <v>90</v>
      </c>
      <c r="D251">
        <v>180</v>
      </c>
      <c r="E251" t="s">
        <v>257</v>
      </c>
      <c r="F251">
        <v>77.470939636230469</v>
      </c>
      <c r="G251">
        <v>95.141998291015625</v>
      </c>
      <c r="H251">
        <v>172.6129455566406</v>
      </c>
      <c r="I251" s="5" t="str">
        <f t="shared" si="12"/>
        <v>High</v>
      </c>
      <c r="J251" s="5" t="str">
        <f t="shared" si="13"/>
        <v>High</v>
      </c>
      <c r="K251" s="6">
        <f t="shared" si="14"/>
        <v>1</v>
      </c>
    </row>
    <row r="252" spans="1:11" x14ac:dyDescent="0.3">
      <c r="A252" t="s">
        <v>258</v>
      </c>
      <c r="B252">
        <v>90</v>
      </c>
      <c r="C252">
        <v>90</v>
      </c>
      <c r="D252">
        <v>180</v>
      </c>
      <c r="E252" t="s">
        <v>258</v>
      </c>
      <c r="F252">
        <v>54.747390747070313</v>
      </c>
      <c r="G252">
        <v>68.869285583496094</v>
      </c>
      <c r="H252">
        <v>123.6166687011719</v>
      </c>
      <c r="I252" s="5" t="str">
        <f t="shared" si="12"/>
        <v>High</v>
      </c>
      <c r="J252" s="5" t="str">
        <f t="shared" si="13"/>
        <v>High</v>
      </c>
      <c r="K252" s="6">
        <f t="shared" si="14"/>
        <v>0</v>
      </c>
    </row>
    <row r="253" spans="1:11" x14ac:dyDescent="0.3">
      <c r="A253" t="s">
        <v>259</v>
      </c>
      <c r="B253">
        <v>90</v>
      </c>
      <c r="C253">
        <v>90</v>
      </c>
      <c r="D253">
        <v>180</v>
      </c>
      <c r="E253" t="s">
        <v>259</v>
      </c>
      <c r="F253">
        <v>58.946125030517578</v>
      </c>
      <c r="G253">
        <v>67.800918579101563</v>
      </c>
      <c r="H253">
        <v>126.7470397949219</v>
      </c>
      <c r="I253" s="5" t="str">
        <f t="shared" si="12"/>
        <v>High</v>
      </c>
      <c r="J253" s="5" t="str">
        <f t="shared" si="13"/>
        <v>High</v>
      </c>
      <c r="K253" s="6">
        <f t="shared" si="14"/>
        <v>0</v>
      </c>
    </row>
    <row r="254" spans="1:11" x14ac:dyDescent="0.3">
      <c r="A254" t="s">
        <v>260</v>
      </c>
      <c r="B254">
        <v>90</v>
      </c>
      <c r="C254">
        <v>90</v>
      </c>
      <c r="D254">
        <v>180</v>
      </c>
      <c r="E254" t="s">
        <v>260</v>
      </c>
      <c r="F254">
        <v>56.304134368896477</v>
      </c>
      <c r="G254">
        <v>68.786964416503906</v>
      </c>
      <c r="H254">
        <v>125.0911026000977</v>
      </c>
      <c r="I254" s="5" t="str">
        <f t="shared" si="12"/>
        <v>High</v>
      </c>
      <c r="J254" s="5" t="str">
        <f t="shared" si="13"/>
        <v>High</v>
      </c>
      <c r="K254" s="6">
        <f t="shared" si="14"/>
        <v>0</v>
      </c>
    </row>
    <row r="255" spans="1:11" x14ac:dyDescent="0.3">
      <c r="A255" t="s">
        <v>261</v>
      </c>
      <c r="B255">
        <v>90</v>
      </c>
      <c r="C255">
        <v>90</v>
      </c>
      <c r="D255">
        <v>180</v>
      </c>
      <c r="E255" t="s">
        <v>261</v>
      </c>
      <c r="F255">
        <v>51.642574310302727</v>
      </c>
      <c r="G255">
        <v>70.555313110351563</v>
      </c>
      <c r="H255">
        <v>122.19789123535161</v>
      </c>
      <c r="I255" s="5" t="str">
        <f t="shared" si="12"/>
        <v>High</v>
      </c>
      <c r="J255" s="5" t="str">
        <f t="shared" si="13"/>
        <v>High</v>
      </c>
      <c r="K255" s="6">
        <f t="shared" si="14"/>
        <v>0</v>
      </c>
    </row>
    <row r="256" spans="1:11" x14ac:dyDescent="0.3">
      <c r="A256" t="s">
        <v>262</v>
      </c>
      <c r="B256">
        <v>90</v>
      </c>
      <c r="C256">
        <v>90</v>
      </c>
      <c r="D256">
        <v>180</v>
      </c>
      <c r="E256" t="s">
        <v>262</v>
      </c>
      <c r="F256">
        <v>46.974521636962891</v>
      </c>
      <c r="G256">
        <v>56.659961700439453</v>
      </c>
      <c r="H256">
        <v>103.6344757080078</v>
      </c>
      <c r="I256" s="5" t="str">
        <f t="shared" si="12"/>
        <v>High</v>
      </c>
      <c r="J256" s="5" t="str">
        <f t="shared" si="13"/>
        <v>High</v>
      </c>
      <c r="K256" s="6">
        <f t="shared" si="14"/>
        <v>0</v>
      </c>
    </row>
    <row r="257" spans="1:11" x14ac:dyDescent="0.3">
      <c r="A257" t="s">
        <v>263</v>
      </c>
      <c r="B257">
        <v>90</v>
      </c>
      <c r="C257">
        <v>90</v>
      </c>
      <c r="D257">
        <v>180</v>
      </c>
      <c r="E257" t="s">
        <v>263</v>
      </c>
      <c r="F257">
        <v>45.644573211669922</v>
      </c>
      <c r="G257">
        <v>57.290679931640618</v>
      </c>
      <c r="H257">
        <v>102.9352569580078</v>
      </c>
      <c r="I257" s="5" t="str">
        <f t="shared" si="12"/>
        <v>High</v>
      </c>
      <c r="J257" s="5" t="str">
        <f t="shared" si="13"/>
        <v>High</v>
      </c>
      <c r="K257" s="6">
        <f t="shared" si="14"/>
        <v>0</v>
      </c>
    </row>
    <row r="258" spans="1:11" x14ac:dyDescent="0.3">
      <c r="A258" t="s">
        <v>264</v>
      </c>
      <c r="B258">
        <v>90</v>
      </c>
      <c r="C258">
        <v>90</v>
      </c>
      <c r="D258">
        <v>180</v>
      </c>
      <c r="E258" t="s">
        <v>264</v>
      </c>
      <c r="F258">
        <v>41.293735504150391</v>
      </c>
      <c r="G258">
        <v>57.136981964111328</v>
      </c>
      <c r="H258">
        <v>98.430717468261719</v>
      </c>
      <c r="I258" s="5" t="str">
        <f t="shared" si="12"/>
        <v>High</v>
      </c>
      <c r="J258" s="5" t="str">
        <f t="shared" si="13"/>
        <v>High</v>
      </c>
      <c r="K258" s="6">
        <f t="shared" si="14"/>
        <v>0</v>
      </c>
    </row>
    <row r="259" spans="1:11" x14ac:dyDescent="0.3">
      <c r="A259" t="s">
        <v>265</v>
      </c>
      <c r="B259">
        <v>90</v>
      </c>
      <c r="C259">
        <v>90</v>
      </c>
      <c r="D259">
        <v>180</v>
      </c>
      <c r="E259" t="s">
        <v>265</v>
      </c>
      <c r="F259">
        <v>43.370182037353523</v>
      </c>
      <c r="G259">
        <v>55.195652008056641</v>
      </c>
      <c r="H259">
        <v>98.565834045410156</v>
      </c>
      <c r="I259" s="5" t="str">
        <f t="shared" si="12"/>
        <v>High</v>
      </c>
      <c r="J259" s="5" t="str">
        <f t="shared" si="13"/>
        <v>High</v>
      </c>
      <c r="K259" s="6">
        <f t="shared" si="14"/>
        <v>0</v>
      </c>
    </row>
    <row r="260" spans="1:11" x14ac:dyDescent="0.3">
      <c r="A260" t="s">
        <v>266</v>
      </c>
      <c r="B260">
        <v>90</v>
      </c>
      <c r="C260">
        <v>90</v>
      </c>
      <c r="D260">
        <v>180</v>
      </c>
      <c r="E260" t="s">
        <v>266</v>
      </c>
      <c r="F260">
        <v>44.594520568847663</v>
      </c>
      <c r="G260">
        <v>56.582633972167969</v>
      </c>
      <c r="H260">
        <v>101.1771545410156</v>
      </c>
      <c r="I260" s="5" t="str">
        <f t="shared" si="12"/>
        <v>High</v>
      </c>
      <c r="J260" s="5" t="str">
        <f t="shared" si="13"/>
        <v>High</v>
      </c>
      <c r="K260" s="6">
        <f t="shared" si="14"/>
        <v>0</v>
      </c>
    </row>
    <row r="261" spans="1:11" x14ac:dyDescent="0.3">
      <c r="A261" t="s">
        <v>267</v>
      </c>
      <c r="B261">
        <v>90</v>
      </c>
      <c r="C261">
        <v>90</v>
      </c>
      <c r="D261">
        <v>180</v>
      </c>
      <c r="E261" t="s">
        <v>267</v>
      </c>
      <c r="F261">
        <v>47.648120880126953</v>
      </c>
      <c r="G261">
        <v>63.763885498046882</v>
      </c>
      <c r="H261">
        <v>111.41200256347661</v>
      </c>
      <c r="I261" s="5" t="str">
        <f t="shared" ref="I261:I324" si="15" xml:space="preserve"> IF(D261 &lt;= 39, "Low",
               IF(D261 &lt;= 69, "Medium", "High"))</f>
        <v>High</v>
      </c>
      <c r="J261" s="5" t="str">
        <f t="shared" ref="J261:J324" si="16" xml:space="preserve"> IF(H261 &lt;= 39, "Low",
               IF(H261 &lt;= 69, "Medium", "High"))</f>
        <v>High</v>
      </c>
      <c r="K261" s="6">
        <f t="shared" ref="K261:K324" si="17" xml:space="preserve"> IF(ABS(D261 - H261) &lt;= 30, 1, 0)</f>
        <v>0</v>
      </c>
    </row>
    <row r="262" spans="1:11" x14ac:dyDescent="0.3">
      <c r="A262" t="s">
        <v>268</v>
      </c>
      <c r="B262">
        <v>90</v>
      </c>
      <c r="C262">
        <v>90</v>
      </c>
      <c r="D262">
        <v>180</v>
      </c>
      <c r="E262" t="s">
        <v>268</v>
      </c>
      <c r="F262">
        <v>51.263763427734382</v>
      </c>
      <c r="G262">
        <v>71.401145935058594</v>
      </c>
      <c r="H262">
        <v>122.66490173339839</v>
      </c>
      <c r="I262" s="5" t="str">
        <f t="shared" si="15"/>
        <v>High</v>
      </c>
      <c r="J262" s="5" t="str">
        <f t="shared" si="16"/>
        <v>High</v>
      </c>
      <c r="K262" s="6">
        <f t="shared" si="17"/>
        <v>0</v>
      </c>
    </row>
    <row r="263" spans="1:11" x14ac:dyDescent="0.3">
      <c r="A263" t="s">
        <v>269</v>
      </c>
      <c r="B263">
        <v>90</v>
      </c>
      <c r="C263">
        <v>90</v>
      </c>
      <c r="D263">
        <v>180</v>
      </c>
      <c r="E263" t="s">
        <v>269</v>
      </c>
      <c r="F263">
        <v>54.998992919921882</v>
      </c>
      <c r="G263">
        <v>82.456901550292969</v>
      </c>
      <c r="H263">
        <v>137.45588684082031</v>
      </c>
      <c r="I263" s="5" t="str">
        <f t="shared" si="15"/>
        <v>High</v>
      </c>
      <c r="J263" s="5" t="str">
        <f t="shared" si="16"/>
        <v>High</v>
      </c>
      <c r="K263" s="6">
        <f t="shared" si="17"/>
        <v>0</v>
      </c>
    </row>
    <row r="264" spans="1:11" x14ac:dyDescent="0.3">
      <c r="A264" t="s">
        <v>270</v>
      </c>
      <c r="B264">
        <v>90</v>
      </c>
      <c r="C264">
        <v>90</v>
      </c>
      <c r="D264">
        <v>180</v>
      </c>
      <c r="E264" t="s">
        <v>270</v>
      </c>
      <c r="F264">
        <v>52.675132751464837</v>
      </c>
      <c r="G264">
        <v>66.529739379882813</v>
      </c>
      <c r="H264">
        <v>119.2048797607422</v>
      </c>
      <c r="I264" s="5" t="str">
        <f t="shared" si="15"/>
        <v>High</v>
      </c>
      <c r="J264" s="5" t="str">
        <f t="shared" si="16"/>
        <v>High</v>
      </c>
      <c r="K264" s="6">
        <f t="shared" si="17"/>
        <v>0</v>
      </c>
    </row>
    <row r="265" spans="1:11" x14ac:dyDescent="0.3">
      <c r="A265" t="s">
        <v>271</v>
      </c>
      <c r="B265">
        <v>90</v>
      </c>
      <c r="C265">
        <v>90</v>
      </c>
      <c r="D265">
        <v>180</v>
      </c>
      <c r="E265" t="s">
        <v>271</v>
      </c>
      <c r="F265">
        <v>50.240604400634773</v>
      </c>
      <c r="G265">
        <v>63.491744995117188</v>
      </c>
      <c r="H265">
        <v>113.7323532104492</v>
      </c>
      <c r="I265" s="5" t="str">
        <f t="shared" si="15"/>
        <v>High</v>
      </c>
      <c r="J265" s="5" t="str">
        <f t="shared" si="16"/>
        <v>High</v>
      </c>
      <c r="K265" s="6">
        <f t="shared" si="17"/>
        <v>0</v>
      </c>
    </row>
    <row r="266" spans="1:11" x14ac:dyDescent="0.3">
      <c r="A266" t="s">
        <v>272</v>
      </c>
      <c r="B266">
        <v>90</v>
      </c>
      <c r="C266">
        <v>90</v>
      </c>
      <c r="D266">
        <v>180</v>
      </c>
      <c r="E266" t="s">
        <v>272</v>
      </c>
      <c r="F266">
        <v>45.352191925048828</v>
      </c>
      <c r="G266">
        <v>57.618450164794922</v>
      </c>
      <c r="H266">
        <v>102.9706497192383</v>
      </c>
      <c r="I266" s="5" t="str">
        <f t="shared" si="15"/>
        <v>High</v>
      </c>
      <c r="J266" s="5" t="str">
        <f t="shared" si="16"/>
        <v>High</v>
      </c>
      <c r="K266" s="6">
        <f t="shared" si="17"/>
        <v>0</v>
      </c>
    </row>
    <row r="267" spans="1:11" x14ac:dyDescent="0.3">
      <c r="A267" t="s">
        <v>273</v>
      </c>
      <c r="B267">
        <v>90</v>
      </c>
      <c r="C267">
        <v>90</v>
      </c>
      <c r="D267">
        <v>180</v>
      </c>
      <c r="E267" t="s">
        <v>273</v>
      </c>
      <c r="F267">
        <v>43.441806793212891</v>
      </c>
      <c r="G267">
        <v>53.030288696289063</v>
      </c>
      <c r="H267">
        <v>96.472099304199219</v>
      </c>
      <c r="I267" s="5" t="str">
        <f t="shared" si="15"/>
        <v>High</v>
      </c>
      <c r="J267" s="5" t="str">
        <f t="shared" si="16"/>
        <v>High</v>
      </c>
      <c r="K267" s="6">
        <f t="shared" si="17"/>
        <v>0</v>
      </c>
    </row>
    <row r="268" spans="1:11" x14ac:dyDescent="0.3">
      <c r="A268" t="s">
        <v>274</v>
      </c>
      <c r="B268">
        <v>90</v>
      </c>
      <c r="C268">
        <v>90</v>
      </c>
      <c r="D268">
        <v>180</v>
      </c>
      <c r="E268" t="s">
        <v>274</v>
      </c>
      <c r="F268">
        <v>42.131557464599609</v>
      </c>
      <c r="G268">
        <v>50.301605224609382</v>
      </c>
      <c r="H268">
        <v>92.43316650390625</v>
      </c>
      <c r="I268" s="5" t="str">
        <f t="shared" si="15"/>
        <v>High</v>
      </c>
      <c r="J268" s="5" t="str">
        <f t="shared" si="16"/>
        <v>High</v>
      </c>
      <c r="K268" s="6">
        <f t="shared" si="17"/>
        <v>0</v>
      </c>
    </row>
    <row r="269" spans="1:11" x14ac:dyDescent="0.3">
      <c r="A269" t="s">
        <v>275</v>
      </c>
      <c r="B269">
        <v>90</v>
      </c>
      <c r="C269">
        <v>90</v>
      </c>
      <c r="D269">
        <v>180</v>
      </c>
      <c r="E269" t="s">
        <v>275</v>
      </c>
      <c r="F269">
        <v>47.810806274414063</v>
      </c>
      <c r="G269">
        <v>64.704521179199219</v>
      </c>
      <c r="H269">
        <v>112.5153274536133</v>
      </c>
      <c r="I269" s="5" t="str">
        <f t="shared" si="15"/>
        <v>High</v>
      </c>
      <c r="J269" s="5" t="str">
        <f t="shared" si="16"/>
        <v>High</v>
      </c>
      <c r="K269" s="6">
        <f t="shared" si="17"/>
        <v>0</v>
      </c>
    </row>
    <row r="270" spans="1:11" x14ac:dyDescent="0.3">
      <c r="A270" t="s">
        <v>276</v>
      </c>
      <c r="B270">
        <v>90</v>
      </c>
      <c r="C270">
        <v>90</v>
      </c>
      <c r="D270">
        <v>180</v>
      </c>
      <c r="E270" t="s">
        <v>276</v>
      </c>
      <c r="F270">
        <v>47.651966094970703</v>
      </c>
      <c r="G270">
        <v>63.505722045898438</v>
      </c>
      <c r="H270">
        <v>111.15769195556641</v>
      </c>
      <c r="I270" s="5" t="str">
        <f t="shared" si="15"/>
        <v>High</v>
      </c>
      <c r="J270" s="5" t="str">
        <f t="shared" si="16"/>
        <v>High</v>
      </c>
      <c r="K270" s="6">
        <f t="shared" si="17"/>
        <v>0</v>
      </c>
    </row>
    <row r="271" spans="1:11" x14ac:dyDescent="0.3">
      <c r="A271" t="s">
        <v>277</v>
      </c>
      <c r="B271">
        <v>90</v>
      </c>
      <c r="C271">
        <v>90</v>
      </c>
      <c r="D271">
        <v>180</v>
      </c>
      <c r="E271" t="s">
        <v>277</v>
      </c>
      <c r="F271">
        <v>52.438152313232422</v>
      </c>
      <c r="G271">
        <v>63.997997283935547</v>
      </c>
      <c r="H271">
        <v>116.436149597168</v>
      </c>
      <c r="I271" s="5" t="str">
        <f t="shared" si="15"/>
        <v>High</v>
      </c>
      <c r="J271" s="5" t="str">
        <f t="shared" si="16"/>
        <v>High</v>
      </c>
      <c r="K271" s="6">
        <f t="shared" si="17"/>
        <v>0</v>
      </c>
    </row>
    <row r="272" spans="1:11" x14ac:dyDescent="0.3">
      <c r="A272" t="s">
        <v>278</v>
      </c>
      <c r="B272">
        <v>90</v>
      </c>
      <c r="C272">
        <v>90</v>
      </c>
      <c r="D272">
        <v>180</v>
      </c>
      <c r="E272" t="s">
        <v>278</v>
      </c>
      <c r="F272">
        <v>52.360488891601563</v>
      </c>
      <c r="G272">
        <v>54.172492980957031</v>
      </c>
      <c r="H272">
        <v>106.53298187255859</v>
      </c>
      <c r="I272" s="5" t="str">
        <f t="shared" si="15"/>
        <v>High</v>
      </c>
      <c r="J272" s="5" t="str">
        <f t="shared" si="16"/>
        <v>High</v>
      </c>
      <c r="K272" s="6">
        <f t="shared" si="17"/>
        <v>0</v>
      </c>
    </row>
    <row r="273" spans="1:11" x14ac:dyDescent="0.3">
      <c r="A273" t="s">
        <v>279</v>
      </c>
      <c r="B273">
        <v>90</v>
      </c>
      <c r="C273">
        <v>90</v>
      </c>
      <c r="D273">
        <v>180</v>
      </c>
      <c r="E273" t="s">
        <v>279</v>
      </c>
      <c r="F273">
        <v>43.683036804199219</v>
      </c>
      <c r="G273">
        <v>38.332714080810547</v>
      </c>
      <c r="H273">
        <v>82.015754699707031</v>
      </c>
      <c r="I273" s="5" t="str">
        <f t="shared" si="15"/>
        <v>High</v>
      </c>
      <c r="J273" s="5" t="str">
        <f t="shared" si="16"/>
        <v>High</v>
      </c>
      <c r="K273" s="6">
        <f t="shared" si="17"/>
        <v>0</v>
      </c>
    </row>
    <row r="274" spans="1:11" x14ac:dyDescent="0.3">
      <c r="A274" t="s">
        <v>280</v>
      </c>
      <c r="B274">
        <v>90</v>
      </c>
      <c r="C274">
        <v>90</v>
      </c>
      <c r="D274">
        <v>180</v>
      </c>
      <c r="E274" t="s">
        <v>280</v>
      </c>
      <c r="F274">
        <v>42.979228973388672</v>
      </c>
      <c r="G274">
        <v>43.513664245605469</v>
      </c>
      <c r="H274">
        <v>86.492897033691406</v>
      </c>
      <c r="I274" s="5" t="str">
        <f t="shared" si="15"/>
        <v>High</v>
      </c>
      <c r="J274" s="5" t="str">
        <f t="shared" si="16"/>
        <v>High</v>
      </c>
      <c r="K274" s="6">
        <f t="shared" si="17"/>
        <v>0</v>
      </c>
    </row>
    <row r="275" spans="1:11" x14ac:dyDescent="0.3">
      <c r="A275" t="s">
        <v>281</v>
      </c>
      <c r="B275">
        <v>60.000003814697273</v>
      </c>
      <c r="C275">
        <v>90</v>
      </c>
      <c r="D275">
        <v>150</v>
      </c>
      <c r="E275" t="s">
        <v>281</v>
      </c>
      <c r="F275">
        <v>50.540374755859382</v>
      </c>
      <c r="G275">
        <v>59.548114776611328</v>
      </c>
      <c r="H275">
        <v>110.088493347168</v>
      </c>
      <c r="I275" s="5" t="str">
        <f t="shared" si="15"/>
        <v>High</v>
      </c>
      <c r="J275" s="5" t="str">
        <f t="shared" si="16"/>
        <v>High</v>
      </c>
      <c r="K275" s="6">
        <f t="shared" si="17"/>
        <v>0</v>
      </c>
    </row>
    <row r="276" spans="1:11" x14ac:dyDescent="0.3">
      <c r="A276" t="s">
        <v>282</v>
      </c>
      <c r="B276">
        <v>60.000003814697273</v>
      </c>
      <c r="C276">
        <v>90</v>
      </c>
      <c r="D276">
        <v>150</v>
      </c>
      <c r="E276" t="s">
        <v>282</v>
      </c>
      <c r="F276">
        <v>51.085758209228523</v>
      </c>
      <c r="G276">
        <v>51.749980926513672</v>
      </c>
      <c r="H276">
        <v>102.8357391357422</v>
      </c>
      <c r="I276" s="5" t="str">
        <f t="shared" si="15"/>
        <v>High</v>
      </c>
      <c r="J276" s="5" t="str">
        <f t="shared" si="16"/>
        <v>High</v>
      </c>
      <c r="K276" s="6">
        <f t="shared" si="17"/>
        <v>0</v>
      </c>
    </row>
    <row r="277" spans="1:11" x14ac:dyDescent="0.3">
      <c r="A277" t="s">
        <v>283</v>
      </c>
      <c r="B277">
        <v>60.000003814697273</v>
      </c>
      <c r="C277">
        <v>90</v>
      </c>
      <c r="D277">
        <v>150</v>
      </c>
      <c r="E277" t="s">
        <v>283</v>
      </c>
      <c r="F277">
        <v>49.609477996826172</v>
      </c>
      <c r="G277">
        <v>57.212162017822273</v>
      </c>
      <c r="H277">
        <v>106.821647644043</v>
      </c>
      <c r="I277" s="5" t="str">
        <f t="shared" si="15"/>
        <v>High</v>
      </c>
      <c r="J277" s="5" t="str">
        <f t="shared" si="16"/>
        <v>High</v>
      </c>
      <c r="K277" s="6">
        <f t="shared" si="17"/>
        <v>0</v>
      </c>
    </row>
    <row r="278" spans="1:11" x14ac:dyDescent="0.3">
      <c r="A278" t="s">
        <v>284</v>
      </c>
      <c r="B278">
        <v>60.000003814697273</v>
      </c>
      <c r="C278">
        <v>90</v>
      </c>
      <c r="D278">
        <v>150</v>
      </c>
      <c r="E278" t="s">
        <v>284</v>
      </c>
      <c r="F278">
        <v>43.448341369628913</v>
      </c>
      <c r="G278">
        <v>49.709407806396477</v>
      </c>
      <c r="H278">
        <v>93.157752990722656</v>
      </c>
      <c r="I278" s="5" t="str">
        <f t="shared" si="15"/>
        <v>High</v>
      </c>
      <c r="J278" s="5" t="str">
        <f t="shared" si="16"/>
        <v>High</v>
      </c>
      <c r="K278" s="6">
        <f t="shared" si="17"/>
        <v>0</v>
      </c>
    </row>
    <row r="279" spans="1:11" x14ac:dyDescent="0.3">
      <c r="A279" t="s">
        <v>285</v>
      </c>
      <c r="B279">
        <v>60.000003814697273</v>
      </c>
      <c r="C279">
        <v>90</v>
      </c>
      <c r="D279">
        <v>150</v>
      </c>
      <c r="E279" t="s">
        <v>285</v>
      </c>
      <c r="F279">
        <v>43.222633361816413</v>
      </c>
      <c r="G279">
        <v>45.363990783691413</v>
      </c>
      <c r="H279">
        <v>88.586631774902344</v>
      </c>
      <c r="I279" s="5" t="str">
        <f t="shared" si="15"/>
        <v>High</v>
      </c>
      <c r="J279" s="5" t="str">
        <f t="shared" si="16"/>
        <v>High</v>
      </c>
      <c r="K279" s="6">
        <f t="shared" si="17"/>
        <v>0</v>
      </c>
    </row>
    <row r="280" spans="1:11" x14ac:dyDescent="0.3">
      <c r="A280" t="s">
        <v>286</v>
      </c>
      <c r="B280">
        <v>60.000003814697273</v>
      </c>
      <c r="C280">
        <v>90</v>
      </c>
      <c r="D280">
        <v>150</v>
      </c>
      <c r="E280" t="s">
        <v>286</v>
      </c>
      <c r="F280">
        <v>39.344570159912109</v>
      </c>
      <c r="G280">
        <v>45.757354736328118</v>
      </c>
      <c r="H280">
        <v>85.1019287109375</v>
      </c>
      <c r="I280" s="5" t="str">
        <f t="shared" si="15"/>
        <v>High</v>
      </c>
      <c r="J280" s="5" t="str">
        <f t="shared" si="16"/>
        <v>High</v>
      </c>
      <c r="K280" s="6">
        <f t="shared" si="17"/>
        <v>0</v>
      </c>
    </row>
    <row r="281" spans="1:11" x14ac:dyDescent="0.3">
      <c r="A281" t="s">
        <v>287</v>
      </c>
      <c r="B281">
        <v>50</v>
      </c>
      <c r="C281">
        <v>80</v>
      </c>
      <c r="D281">
        <v>130</v>
      </c>
      <c r="E281" t="s">
        <v>287</v>
      </c>
      <c r="F281">
        <v>36.423152923583977</v>
      </c>
      <c r="G281">
        <v>32.163475036621087</v>
      </c>
      <c r="H281">
        <v>68.586631774902344</v>
      </c>
      <c r="I281" s="5" t="str">
        <f t="shared" si="15"/>
        <v>High</v>
      </c>
      <c r="J281" s="5" t="str">
        <f t="shared" si="16"/>
        <v>Medium</v>
      </c>
      <c r="K281" s="6">
        <f t="shared" si="17"/>
        <v>0</v>
      </c>
    </row>
    <row r="282" spans="1:11" x14ac:dyDescent="0.3">
      <c r="A282" t="s">
        <v>288</v>
      </c>
      <c r="B282">
        <v>50</v>
      </c>
      <c r="C282">
        <v>80</v>
      </c>
      <c r="D282">
        <v>130</v>
      </c>
      <c r="E282" t="s">
        <v>288</v>
      </c>
      <c r="F282">
        <v>34.434673309326172</v>
      </c>
      <c r="G282">
        <v>38.883815765380859</v>
      </c>
      <c r="H282">
        <v>73.318496704101563</v>
      </c>
      <c r="I282" s="5" t="str">
        <f t="shared" si="15"/>
        <v>High</v>
      </c>
      <c r="J282" s="5" t="str">
        <f t="shared" si="16"/>
        <v>High</v>
      </c>
      <c r="K282" s="6">
        <f t="shared" si="17"/>
        <v>0</v>
      </c>
    </row>
    <row r="283" spans="1:11" x14ac:dyDescent="0.3">
      <c r="A283" t="s">
        <v>289</v>
      </c>
      <c r="B283">
        <v>50</v>
      </c>
      <c r="C283">
        <v>80</v>
      </c>
      <c r="D283">
        <v>130</v>
      </c>
      <c r="E283" t="s">
        <v>289</v>
      </c>
      <c r="F283">
        <v>39.494274139404297</v>
      </c>
      <c r="G283">
        <v>39.047981262207031</v>
      </c>
      <c r="H283">
        <v>78.542259216308594</v>
      </c>
      <c r="I283" s="5" t="str">
        <f t="shared" si="15"/>
        <v>High</v>
      </c>
      <c r="J283" s="5" t="str">
        <f t="shared" si="16"/>
        <v>High</v>
      </c>
      <c r="K283" s="6">
        <f t="shared" si="17"/>
        <v>0</v>
      </c>
    </row>
    <row r="284" spans="1:11" x14ac:dyDescent="0.3">
      <c r="A284" t="s">
        <v>290</v>
      </c>
      <c r="B284">
        <v>50</v>
      </c>
      <c r="C284">
        <v>80</v>
      </c>
      <c r="D284">
        <v>130</v>
      </c>
      <c r="E284" t="s">
        <v>290</v>
      </c>
      <c r="F284">
        <v>50.650882720947273</v>
      </c>
      <c r="G284">
        <v>60.332889556884773</v>
      </c>
      <c r="H284">
        <v>110.98377990722661</v>
      </c>
      <c r="I284" s="5" t="str">
        <f t="shared" si="15"/>
        <v>High</v>
      </c>
      <c r="J284" s="5" t="str">
        <f t="shared" si="16"/>
        <v>High</v>
      </c>
      <c r="K284" s="6">
        <f t="shared" si="17"/>
        <v>1</v>
      </c>
    </row>
    <row r="285" spans="1:11" x14ac:dyDescent="0.3">
      <c r="A285" t="s">
        <v>291</v>
      </c>
      <c r="B285">
        <v>50</v>
      </c>
      <c r="C285">
        <v>80</v>
      </c>
      <c r="D285">
        <v>130</v>
      </c>
      <c r="E285" t="s">
        <v>291</v>
      </c>
      <c r="F285">
        <v>43.013729095458977</v>
      </c>
      <c r="G285">
        <v>48.400238037109382</v>
      </c>
      <c r="H285">
        <v>91.413970947265625</v>
      </c>
      <c r="I285" s="5" t="str">
        <f t="shared" si="15"/>
        <v>High</v>
      </c>
      <c r="J285" s="5" t="str">
        <f t="shared" si="16"/>
        <v>High</v>
      </c>
      <c r="K285" s="6">
        <f t="shared" si="17"/>
        <v>0</v>
      </c>
    </row>
    <row r="286" spans="1:11" x14ac:dyDescent="0.3">
      <c r="A286" t="s">
        <v>292</v>
      </c>
      <c r="B286">
        <v>50</v>
      </c>
      <c r="C286">
        <v>80</v>
      </c>
      <c r="D286">
        <v>130</v>
      </c>
      <c r="E286" t="s">
        <v>292</v>
      </c>
      <c r="F286">
        <v>44.093021392822273</v>
      </c>
      <c r="G286">
        <v>47.486011505126953</v>
      </c>
      <c r="H286">
        <v>91.579032897949219</v>
      </c>
      <c r="I286" s="5" t="str">
        <f t="shared" si="15"/>
        <v>High</v>
      </c>
      <c r="J286" s="5" t="str">
        <f t="shared" si="16"/>
        <v>High</v>
      </c>
      <c r="K286" s="6">
        <f t="shared" si="17"/>
        <v>0</v>
      </c>
    </row>
    <row r="287" spans="1:11" x14ac:dyDescent="0.3">
      <c r="A287" t="s">
        <v>293</v>
      </c>
      <c r="B287">
        <v>80</v>
      </c>
      <c r="C287">
        <v>40</v>
      </c>
      <c r="D287">
        <v>120.0000076293945</v>
      </c>
      <c r="E287" t="s">
        <v>293</v>
      </c>
      <c r="F287">
        <v>39.518611907958977</v>
      </c>
      <c r="G287">
        <v>37.372188568115227</v>
      </c>
      <c r="H287">
        <v>76.890800476074219</v>
      </c>
      <c r="I287" s="5" t="str">
        <f t="shared" si="15"/>
        <v>High</v>
      </c>
      <c r="J287" s="5" t="str">
        <f t="shared" si="16"/>
        <v>High</v>
      </c>
      <c r="K287" s="6">
        <f t="shared" si="17"/>
        <v>0</v>
      </c>
    </row>
    <row r="288" spans="1:11" x14ac:dyDescent="0.3">
      <c r="A288" t="s">
        <v>294</v>
      </c>
      <c r="B288">
        <v>80</v>
      </c>
      <c r="C288">
        <v>40</v>
      </c>
      <c r="D288">
        <v>120.0000076293945</v>
      </c>
      <c r="E288" t="s">
        <v>294</v>
      </c>
      <c r="F288">
        <v>40.968303680419922</v>
      </c>
      <c r="G288">
        <v>39.587512969970703</v>
      </c>
      <c r="H288">
        <v>80.555816650390625</v>
      </c>
      <c r="I288" s="5" t="str">
        <f t="shared" si="15"/>
        <v>High</v>
      </c>
      <c r="J288" s="5" t="str">
        <f t="shared" si="16"/>
        <v>High</v>
      </c>
      <c r="K288" s="6">
        <f t="shared" si="17"/>
        <v>0</v>
      </c>
    </row>
    <row r="289" spans="1:11" x14ac:dyDescent="0.3">
      <c r="A289" t="s">
        <v>295</v>
      </c>
      <c r="B289">
        <v>80</v>
      </c>
      <c r="C289">
        <v>40</v>
      </c>
      <c r="D289">
        <v>120.0000076293945</v>
      </c>
      <c r="E289" t="s">
        <v>295</v>
      </c>
      <c r="F289">
        <v>42.252189636230469</v>
      </c>
      <c r="G289">
        <v>45.896404266357422</v>
      </c>
      <c r="H289">
        <v>88.148590087890625</v>
      </c>
      <c r="I289" s="5" t="str">
        <f t="shared" si="15"/>
        <v>High</v>
      </c>
      <c r="J289" s="5" t="str">
        <f t="shared" si="16"/>
        <v>High</v>
      </c>
      <c r="K289" s="6">
        <f t="shared" si="17"/>
        <v>0</v>
      </c>
    </row>
    <row r="290" spans="1:11" x14ac:dyDescent="0.3">
      <c r="A290" t="s">
        <v>296</v>
      </c>
      <c r="B290">
        <v>80</v>
      </c>
      <c r="C290">
        <v>40</v>
      </c>
      <c r="D290">
        <v>120.0000076293945</v>
      </c>
      <c r="E290" t="s">
        <v>296</v>
      </c>
      <c r="F290">
        <v>33.356700897216797</v>
      </c>
      <c r="G290">
        <v>37.683284759521477</v>
      </c>
      <c r="H290">
        <v>71.039985656738281</v>
      </c>
      <c r="I290" s="5" t="str">
        <f t="shared" si="15"/>
        <v>High</v>
      </c>
      <c r="J290" s="5" t="str">
        <f t="shared" si="16"/>
        <v>High</v>
      </c>
      <c r="K290" s="6">
        <f t="shared" si="17"/>
        <v>0</v>
      </c>
    </row>
    <row r="291" spans="1:11" x14ac:dyDescent="0.3">
      <c r="A291" t="s">
        <v>297</v>
      </c>
      <c r="B291">
        <v>80</v>
      </c>
      <c r="C291">
        <v>40</v>
      </c>
      <c r="D291">
        <v>120.0000076293945</v>
      </c>
      <c r="E291" t="s">
        <v>297</v>
      </c>
      <c r="F291">
        <v>29.7578125</v>
      </c>
      <c r="G291">
        <v>30.233669281005859</v>
      </c>
      <c r="H291">
        <v>59.991477966308587</v>
      </c>
      <c r="I291" s="5" t="str">
        <f t="shared" si="15"/>
        <v>High</v>
      </c>
      <c r="J291" s="5" t="str">
        <f t="shared" si="16"/>
        <v>Medium</v>
      </c>
      <c r="K291" s="6">
        <f t="shared" si="17"/>
        <v>0</v>
      </c>
    </row>
    <row r="292" spans="1:11" x14ac:dyDescent="0.3">
      <c r="A292" t="s">
        <v>298</v>
      </c>
      <c r="B292">
        <v>80</v>
      </c>
      <c r="C292">
        <v>40</v>
      </c>
      <c r="D292">
        <v>120.0000076293945</v>
      </c>
      <c r="E292" t="s">
        <v>298</v>
      </c>
      <c r="F292">
        <v>30.50428581237793</v>
      </c>
      <c r="G292">
        <v>29.00258827209473</v>
      </c>
      <c r="H292">
        <v>59.506874084472663</v>
      </c>
      <c r="I292" s="5" t="str">
        <f t="shared" si="15"/>
        <v>High</v>
      </c>
      <c r="J292" s="5" t="str">
        <f t="shared" si="16"/>
        <v>Medium</v>
      </c>
      <c r="K292" s="6">
        <f t="shared" si="17"/>
        <v>0</v>
      </c>
    </row>
    <row r="293" spans="1:11" x14ac:dyDescent="0.3">
      <c r="A293" t="s">
        <v>299</v>
      </c>
      <c r="B293">
        <v>80</v>
      </c>
      <c r="C293">
        <v>40</v>
      </c>
      <c r="D293">
        <v>120.0000076293945</v>
      </c>
      <c r="E293" t="s">
        <v>299</v>
      </c>
      <c r="F293">
        <v>30.905166625976559</v>
      </c>
      <c r="G293">
        <v>35.314697265625</v>
      </c>
      <c r="H293">
        <v>66.219863891601563</v>
      </c>
      <c r="I293" s="5" t="str">
        <f t="shared" si="15"/>
        <v>High</v>
      </c>
      <c r="J293" s="5" t="str">
        <f t="shared" si="16"/>
        <v>Medium</v>
      </c>
      <c r="K293" s="6">
        <f t="shared" si="17"/>
        <v>0</v>
      </c>
    </row>
    <row r="294" spans="1:11" x14ac:dyDescent="0.3">
      <c r="A294" t="s">
        <v>300</v>
      </c>
      <c r="B294">
        <v>80</v>
      </c>
      <c r="C294">
        <v>40</v>
      </c>
      <c r="D294">
        <v>120.0000076293945</v>
      </c>
      <c r="E294" t="s">
        <v>300</v>
      </c>
      <c r="F294">
        <v>31.01932334899902</v>
      </c>
      <c r="G294">
        <v>36.855327606201172</v>
      </c>
      <c r="H294">
        <v>67.874649047851563</v>
      </c>
      <c r="I294" s="5" t="str">
        <f t="shared" si="15"/>
        <v>High</v>
      </c>
      <c r="J294" s="5" t="str">
        <f t="shared" si="16"/>
        <v>Medium</v>
      </c>
      <c r="K294" s="6">
        <f t="shared" si="17"/>
        <v>0</v>
      </c>
    </row>
    <row r="295" spans="1:11" x14ac:dyDescent="0.3">
      <c r="A295" t="s">
        <v>301</v>
      </c>
      <c r="B295">
        <v>80</v>
      </c>
      <c r="C295">
        <v>40</v>
      </c>
      <c r="D295">
        <v>120.0000076293945</v>
      </c>
      <c r="E295" t="s">
        <v>301</v>
      </c>
      <c r="F295">
        <v>37.835178375244141</v>
      </c>
      <c r="G295">
        <v>34.767349243164063</v>
      </c>
      <c r="H295">
        <v>72.602531433105469</v>
      </c>
      <c r="I295" s="5" t="str">
        <f t="shared" si="15"/>
        <v>High</v>
      </c>
      <c r="J295" s="5" t="str">
        <f t="shared" si="16"/>
        <v>High</v>
      </c>
      <c r="K295" s="6">
        <f t="shared" si="17"/>
        <v>0</v>
      </c>
    </row>
    <row r="296" spans="1:11" x14ac:dyDescent="0.3">
      <c r="A296" t="s">
        <v>302</v>
      </c>
      <c r="B296">
        <v>80</v>
      </c>
      <c r="C296">
        <v>40</v>
      </c>
      <c r="D296">
        <v>120.0000076293945</v>
      </c>
      <c r="E296" t="s">
        <v>302</v>
      </c>
      <c r="F296">
        <v>42.806854248046882</v>
      </c>
      <c r="G296">
        <v>54.89886474609375</v>
      </c>
      <c r="H296">
        <v>97.705718994140625</v>
      </c>
      <c r="I296" s="5" t="str">
        <f t="shared" si="15"/>
        <v>High</v>
      </c>
      <c r="J296" s="5" t="str">
        <f t="shared" si="16"/>
        <v>High</v>
      </c>
      <c r="K296" s="6">
        <f t="shared" si="17"/>
        <v>1</v>
      </c>
    </row>
    <row r="297" spans="1:11" x14ac:dyDescent="0.3">
      <c r="A297" t="s">
        <v>303</v>
      </c>
      <c r="B297">
        <v>80</v>
      </c>
      <c r="C297">
        <v>40</v>
      </c>
      <c r="D297">
        <v>120.0000076293945</v>
      </c>
      <c r="E297" t="s">
        <v>303</v>
      </c>
      <c r="F297">
        <v>45.845973968505859</v>
      </c>
      <c r="G297">
        <v>58.635211944580078</v>
      </c>
      <c r="H297">
        <v>104.48118591308589</v>
      </c>
      <c r="I297" s="5" t="str">
        <f t="shared" si="15"/>
        <v>High</v>
      </c>
      <c r="J297" s="5" t="str">
        <f t="shared" si="16"/>
        <v>High</v>
      </c>
      <c r="K297" s="6">
        <f t="shared" si="17"/>
        <v>1</v>
      </c>
    </row>
    <row r="298" spans="1:11" x14ac:dyDescent="0.3">
      <c r="A298" t="s">
        <v>304</v>
      </c>
      <c r="B298">
        <v>80</v>
      </c>
      <c r="C298">
        <v>40</v>
      </c>
      <c r="D298">
        <v>120.0000076293945</v>
      </c>
      <c r="E298" t="s">
        <v>304</v>
      </c>
      <c r="F298">
        <v>46.852836608886719</v>
      </c>
      <c r="G298">
        <v>60.678436279296882</v>
      </c>
      <c r="H298">
        <v>107.53127288818359</v>
      </c>
      <c r="I298" s="5" t="str">
        <f t="shared" si="15"/>
        <v>High</v>
      </c>
      <c r="J298" s="5" t="str">
        <f t="shared" si="16"/>
        <v>High</v>
      </c>
      <c r="K298" s="6">
        <f t="shared" si="17"/>
        <v>1</v>
      </c>
    </row>
    <row r="299" spans="1:11" x14ac:dyDescent="0.3">
      <c r="A299" t="s">
        <v>305</v>
      </c>
      <c r="B299">
        <v>40</v>
      </c>
      <c r="C299">
        <v>90</v>
      </c>
      <c r="D299">
        <v>130</v>
      </c>
      <c r="E299" t="s">
        <v>305</v>
      </c>
      <c r="F299">
        <v>46.842498779296882</v>
      </c>
      <c r="G299">
        <v>59.512664794921882</v>
      </c>
      <c r="H299">
        <v>106.35516357421881</v>
      </c>
      <c r="I299" s="5" t="str">
        <f t="shared" si="15"/>
        <v>High</v>
      </c>
      <c r="J299" s="5" t="str">
        <f t="shared" si="16"/>
        <v>High</v>
      </c>
      <c r="K299" s="6">
        <f t="shared" si="17"/>
        <v>1</v>
      </c>
    </row>
    <row r="300" spans="1:11" x14ac:dyDescent="0.3">
      <c r="A300" t="s">
        <v>306</v>
      </c>
      <c r="B300">
        <v>40</v>
      </c>
      <c r="C300">
        <v>90</v>
      </c>
      <c r="D300">
        <v>130</v>
      </c>
      <c r="E300" t="s">
        <v>306</v>
      </c>
      <c r="F300">
        <v>46.799030303955078</v>
      </c>
      <c r="G300">
        <v>59.132457733154297</v>
      </c>
      <c r="H300">
        <v>105.9314880371094</v>
      </c>
      <c r="I300" s="5" t="str">
        <f t="shared" si="15"/>
        <v>High</v>
      </c>
      <c r="J300" s="5" t="str">
        <f t="shared" si="16"/>
        <v>High</v>
      </c>
      <c r="K300" s="6">
        <f t="shared" si="17"/>
        <v>1</v>
      </c>
    </row>
    <row r="301" spans="1:11" x14ac:dyDescent="0.3">
      <c r="A301" t="s">
        <v>307</v>
      </c>
      <c r="B301">
        <v>40</v>
      </c>
      <c r="C301">
        <v>90</v>
      </c>
      <c r="D301">
        <v>130</v>
      </c>
      <c r="E301" t="s">
        <v>307</v>
      </c>
      <c r="F301">
        <v>49.150302886962891</v>
      </c>
      <c r="G301">
        <v>59.124885559082031</v>
      </c>
      <c r="H301">
        <v>108.2751846313477</v>
      </c>
      <c r="I301" s="5" t="str">
        <f t="shared" si="15"/>
        <v>High</v>
      </c>
      <c r="J301" s="5" t="str">
        <f t="shared" si="16"/>
        <v>High</v>
      </c>
      <c r="K301" s="6">
        <f t="shared" si="17"/>
        <v>1</v>
      </c>
    </row>
    <row r="302" spans="1:11" x14ac:dyDescent="0.3">
      <c r="A302" t="s">
        <v>308</v>
      </c>
      <c r="B302">
        <v>40</v>
      </c>
      <c r="C302">
        <v>90</v>
      </c>
      <c r="D302">
        <v>130</v>
      </c>
      <c r="E302" t="s">
        <v>308</v>
      </c>
      <c r="F302">
        <v>44.089992523193359</v>
      </c>
      <c r="G302">
        <v>57.183002471923828</v>
      </c>
      <c r="H302">
        <v>101.2730026245117</v>
      </c>
      <c r="I302" s="5" t="str">
        <f t="shared" si="15"/>
        <v>High</v>
      </c>
      <c r="J302" s="5" t="str">
        <f t="shared" si="16"/>
        <v>High</v>
      </c>
      <c r="K302" s="6">
        <f t="shared" si="17"/>
        <v>1</v>
      </c>
    </row>
    <row r="303" spans="1:11" x14ac:dyDescent="0.3">
      <c r="A303" t="s">
        <v>309</v>
      </c>
      <c r="B303">
        <v>40</v>
      </c>
      <c r="C303">
        <v>90</v>
      </c>
      <c r="D303">
        <v>130</v>
      </c>
      <c r="E303" t="s">
        <v>309</v>
      </c>
      <c r="F303">
        <v>41.348896026611328</v>
      </c>
      <c r="G303">
        <v>53.450466156005859</v>
      </c>
      <c r="H303">
        <v>94.799362182617188</v>
      </c>
      <c r="I303" s="5" t="str">
        <f t="shared" si="15"/>
        <v>High</v>
      </c>
      <c r="J303" s="5" t="str">
        <f t="shared" si="16"/>
        <v>High</v>
      </c>
      <c r="K303" s="6">
        <f t="shared" si="17"/>
        <v>0</v>
      </c>
    </row>
    <row r="304" spans="1:11" x14ac:dyDescent="0.3">
      <c r="A304" t="s">
        <v>310</v>
      </c>
      <c r="B304">
        <v>40</v>
      </c>
      <c r="C304">
        <v>90</v>
      </c>
      <c r="D304">
        <v>130</v>
      </c>
      <c r="E304" t="s">
        <v>310</v>
      </c>
      <c r="F304">
        <v>44.724094390869141</v>
      </c>
      <c r="G304">
        <v>56.648509979248047</v>
      </c>
      <c r="H304">
        <v>101.3725967407227</v>
      </c>
      <c r="I304" s="5" t="str">
        <f t="shared" si="15"/>
        <v>High</v>
      </c>
      <c r="J304" s="5" t="str">
        <f t="shared" si="16"/>
        <v>High</v>
      </c>
      <c r="K304" s="6">
        <f t="shared" si="17"/>
        <v>1</v>
      </c>
    </row>
    <row r="305" spans="1:11" x14ac:dyDescent="0.3">
      <c r="A305" t="s">
        <v>311</v>
      </c>
      <c r="B305">
        <v>60.000003814697273</v>
      </c>
      <c r="C305">
        <v>90</v>
      </c>
      <c r="D305">
        <v>150</v>
      </c>
      <c r="E305" t="s">
        <v>311</v>
      </c>
      <c r="F305">
        <v>45.763343811035163</v>
      </c>
      <c r="G305">
        <v>62.123966217041023</v>
      </c>
      <c r="H305">
        <v>107.88731384277339</v>
      </c>
      <c r="I305" s="5" t="str">
        <f t="shared" si="15"/>
        <v>High</v>
      </c>
      <c r="J305" s="5" t="str">
        <f t="shared" si="16"/>
        <v>High</v>
      </c>
      <c r="K305" s="6">
        <f t="shared" si="17"/>
        <v>0</v>
      </c>
    </row>
    <row r="306" spans="1:11" x14ac:dyDescent="0.3">
      <c r="A306" t="s">
        <v>312</v>
      </c>
      <c r="B306">
        <v>60.000003814697273</v>
      </c>
      <c r="C306">
        <v>90</v>
      </c>
      <c r="D306">
        <v>150</v>
      </c>
      <c r="E306" t="s">
        <v>312</v>
      </c>
      <c r="F306">
        <v>41.933521270751953</v>
      </c>
      <c r="G306">
        <v>53.459281921386719</v>
      </c>
      <c r="H306">
        <v>95.392799377441406</v>
      </c>
      <c r="I306" s="5" t="str">
        <f t="shared" si="15"/>
        <v>High</v>
      </c>
      <c r="J306" s="5" t="str">
        <f t="shared" si="16"/>
        <v>High</v>
      </c>
      <c r="K306" s="6">
        <f t="shared" si="17"/>
        <v>0</v>
      </c>
    </row>
    <row r="307" spans="1:11" x14ac:dyDescent="0.3">
      <c r="A307" t="s">
        <v>313</v>
      </c>
      <c r="B307">
        <v>60.000003814697273</v>
      </c>
      <c r="C307">
        <v>90</v>
      </c>
      <c r="D307">
        <v>150</v>
      </c>
      <c r="E307" t="s">
        <v>313</v>
      </c>
      <c r="F307">
        <v>45.470027923583977</v>
      </c>
      <c r="G307">
        <v>60.412342071533203</v>
      </c>
      <c r="H307">
        <v>105.8823699951172</v>
      </c>
      <c r="I307" s="5" t="str">
        <f t="shared" si="15"/>
        <v>High</v>
      </c>
      <c r="J307" s="5" t="str">
        <f t="shared" si="16"/>
        <v>High</v>
      </c>
      <c r="K307" s="6">
        <f t="shared" si="17"/>
        <v>0</v>
      </c>
    </row>
    <row r="308" spans="1:11" x14ac:dyDescent="0.3">
      <c r="A308" t="s">
        <v>314</v>
      </c>
      <c r="B308">
        <v>60.000003814697273</v>
      </c>
      <c r="C308">
        <v>90</v>
      </c>
      <c r="D308">
        <v>150</v>
      </c>
      <c r="E308" t="s">
        <v>314</v>
      </c>
      <c r="F308">
        <v>48.115726470947273</v>
      </c>
      <c r="G308">
        <v>56.604148864746087</v>
      </c>
      <c r="H308">
        <v>104.7198791503906</v>
      </c>
      <c r="I308" s="5" t="str">
        <f t="shared" si="15"/>
        <v>High</v>
      </c>
      <c r="J308" s="5" t="str">
        <f t="shared" si="16"/>
        <v>High</v>
      </c>
      <c r="K308" s="6">
        <f t="shared" si="17"/>
        <v>0</v>
      </c>
    </row>
    <row r="309" spans="1:11" x14ac:dyDescent="0.3">
      <c r="A309" t="s">
        <v>315</v>
      </c>
      <c r="B309">
        <v>60.000003814697273</v>
      </c>
      <c r="C309">
        <v>90</v>
      </c>
      <c r="D309">
        <v>150</v>
      </c>
      <c r="E309" t="s">
        <v>315</v>
      </c>
      <c r="F309">
        <v>43.624488830566413</v>
      </c>
      <c r="G309">
        <v>47.635944366455078</v>
      </c>
      <c r="H309">
        <v>91.26043701171875</v>
      </c>
      <c r="I309" s="5" t="str">
        <f t="shared" si="15"/>
        <v>High</v>
      </c>
      <c r="J309" s="5" t="str">
        <f t="shared" si="16"/>
        <v>High</v>
      </c>
      <c r="K309" s="6">
        <f t="shared" si="17"/>
        <v>0</v>
      </c>
    </row>
    <row r="310" spans="1:11" x14ac:dyDescent="0.3">
      <c r="A310" t="s">
        <v>316</v>
      </c>
      <c r="B310">
        <v>60.000003814697273</v>
      </c>
      <c r="C310">
        <v>90</v>
      </c>
      <c r="D310">
        <v>150</v>
      </c>
      <c r="E310" t="s">
        <v>316</v>
      </c>
      <c r="F310">
        <v>49.861366271972663</v>
      </c>
      <c r="G310">
        <v>55.188518524169922</v>
      </c>
      <c r="H310">
        <v>105.0498809814453</v>
      </c>
      <c r="I310" s="5" t="str">
        <f t="shared" si="15"/>
        <v>High</v>
      </c>
      <c r="J310" s="5" t="str">
        <f t="shared" si="16"/>
        <v>High</v>
      </c>
      <c r="K310" s="6">
        <f t="shared" si="17"/>
        <v>0</v>
      </c>
    </row>
    <row r="311" spans="1:11" x14ac:dyDescent="0.3">
      <c r="A311" t="s">
        <v>317</v>
      </c>
      <c r="B311">
        <v>60.000003814697273</v>
      </c>
      <c r="C311">
        <v>40</v>
      </c>
      <c r="D311">
        <v>100</v>
      </c>
      <c r="E311" t="s">
        <v>317</v>
      </c>
      <c r="F311">
        <v>39.142730712890618</v>
      </c>
      <c r="G311">
        <v>41.199024200439453</v>
      </c>
      <c r="H311">
        <v>80.341758728027344</v>
      </c>
      <c r="I311" s="5" t="str">
        <f t="shared" si="15"/>
        <v>High</v>
      </c>
      <c r="J311" s="5" t="str">
        <f t="shared" si="16"/>
        <v>High</v>
      </c>
      <c r="K311" s="6">
        <f t="shared" si="17"/>
        <v>1</v>
      </c>
    </row>
    <row r="312" spans="1:11" x14ac:dyDescent="0.3">
      <c r="A312" t="s">
        <v>318</v>
      </c>
      <c r="B312">
        <v>60.000003814697273</v>
      </c>
      <c r="C312">
        <v>40</v>
      </c>
      <c r="D312">
        <v>100</v>
      </c>
      <c r="E312" t="s">
        <v>318</v>
      </c>
      <c r="F312">
        <v>41.387168884277337</v>
      </c>
      <c r="G312">
        <v>36.389141082763672</v>
      </c>
      <c r="H312">
        <v>77.776313781738281</v>
      </c>
      <c r="I312" s="5" t="str">
        <f t="shared" si="15"/>
        <v>High</v>
      </c>
      <c r="J312" s="5" t="str">
        <f t="shared" si="16"/>
        <v>High</v>
      </c>
      <c r="K312" s="6">
        <f t="shared" si="17"/>
        <v>1</v>
      </c>
    </row>
    <row r="313" spans="1:11" x14ac:dyDescent="0.3">
      <c r="A313" t="s">
        <v>319</v>
      </c>
      <c r="B313">
        <v>60.000003814697273</v>
      </c>
      <c r="C313">
        <v>40</v>
      </c>
      <c r="D313">
        <v>100</v>
      </c>
      <c r="E313" t="s">
        <v>319</v>
      </c>
      <c r="F313">
        <v>44.344490051269531</v>
      </c>
      <c r="G313">
        <v>47.405921936035163</v>
      </c>
      <c r="H313">
        <v>91.750411987304688</v>
      </c>
      <c r="I313" s="5" t="str">
        <f t="shared" si="15"/>
        <v>High</v>
      </c>
      <c r="J313" s="5" t="str">
        <f t="shared" si="16"/>
        <v>High</v>
      </c>
      <c r="K313" s="6">
        <f t="shared" si="17"/>
        <v>1</v>
      </c>
    </row>
    <row r="314" spans="1:11" x14ac:dyDescent="0.3">
      <c r="A314" t="s">
        <v>320</v>
      </c>
      <c r="B314">
        <v>60.000003814697273</v>
      </c>
      <c r="C314">
        <v>40</v>
      </c>
      <c r="D314">
        <v>100</v>
      </c>
      <c r="E314" t="s">
        <v>320</v>
      </c>
      <c r="F314">
        <v>43.849617004394531</v>
      </c>
      <c r="G314">
        <v>57.746307373046882</v>
      </c>
      <c r="H314">
        <v>101.59592437744141</v>
      </c>
      <c r="I314" s="5" t="str">
        <f t="shared" si="15"/>
        <v>High</v>
      </c>
      <c r="J314" s="5" t="str">
        <f t="shared" si="16"/>
        <v>High</v>
      </c>
      <c r="K314" s="6">
        <f t="shared" si="17"/>
        <v>1</v>
      </c>
    </row>
    <row r="315" spans="1:11" x14ac:dyDescent="0.3">
      <c r="A315" t="s">
        <v>321</v>
      </c>
      <c r="B315">
        <v>60.000003814697273</v>
      </c>
      <c r="C315">
        <v>40</v>
      </c>
      <c r="D315">
        <v>100</v>
      </c>
      <c r="E315" t="s">
        <v>321</v>
      </c>
      <c r="F315">
        <v>39.769298553466797</v>
      </c>
      <c r="G315">
        <v>52.726955413818359</v>
      </c>
      <c r="H315">
        <v>92.496253967285156</v>
      </c>
      <c r="I315" s="5" t="str">
        <f t="shared" si="15"/>
        <v>High</v>
      </c>
      <c r="J315" s="5" t="str">
        <f t="shared" si="16"/>
        <v>High</v>
      </c>
      <c r="K315" s="6">
        <f t="shared" si="17"/>
        <v>1</v>
      </c>
    </row>
    <row r="316" spans="1:11" x14ac:dyDescent="0.3">
      <c r="A316" t="s">
        <v>322</v>
      </c>
      <c r="B316">
        <v>60.000003814697273</v>
      </c>
      <c r="C316">
        <v>40</v>
      </c>
      <c r="D316">
        <v>100</v>
      </c>
      <c r="E316" t="s">
        <v>322</v>
      </c>
      <c r="F316">
        <v>45.131008148193359</v>
      </c>
      <c r="G316">
        <v>56.184417724609382</v>
      </c>
      <c r="H316">
        <v>101.3154296875</v>
      </c>
      <c r="I316" s="5" t="str">
        <f t="shared" si="15"/>
        <v>High</v>
      </c>
      <c r="J316" s="5" t="str">
        <f t="shared" si="16"/>
        <v>High</v>
      </c>
      <c r="K316" s="6">
        <f t="shared" si="17"/>
        <v>1</v>
      </c>
    </row>
    <row r="317" spans="1:11" x14ac:dyDescent="0.3">
      <c r="A317" t="s">
        <v>323</v>
      </c>
      <c r="B317">
        <v>40</v>
      </c>
      <c r="C317">
        <v>80</v>
      </c>
      <c r="D317">
        <v>120.0000076293945</v>
      </c>
      <c r="E317" t="s">
        <v>323</v>
      </c>
      <c r="F317">
        <v>44.362880706787109</v>
      </c>
      <c r="G317">
        <v>58.006500244140618</v>
      </c>
      <c r="H317">
        <v>102.3693771362305</v>
      </c>
      <c r="I317" s="5" t="str">
        <f t="shared" si="15"/>
        <v>High</v>
      </c>
      <c r="J317" s="5" t="str">
        <f t="shared" si="16"/>
        <v>High</v>
      </c>
      <c r="K317" s="6">
        <f t="shared" si="17"/>
        <v>1</v>
      </c>
    </row>
    <row r="318" spans="1:11" x14ac:dyDescent="0.3">
      <c r="A318" t="s">
        <v>324</v>
      </c>
      <c r="B318">
        <v>40</v>
      </c>
      <c r="C318">
        <v>80</v>
      </c>
      <c r="D318">
        <v>120.0000076293945</v>
      </c>
      <c r="E318" t="s">
        <v>324</v>
      </c>
      <c r="F318">
        <v>44.333351135253913</v>
      </c>
      <c r="G318">
        <v>57.735824584960938</v>
      </c>
      <c r="H318">
        <v>102.0691757202148</v>
      </c>
      <c r="I318" s="5" t="str">
        <f t="shared" si="15"/>
        <v>High</v>
      </c>
      <c r="J318" s="5" t="str">
        <f t="shared" si="16"/>
        <v>High</v>
      </c>
      <c r="K318" s="6">
        <f t="shared" si="17"/>
        <v>1</v>
      </c>
    </row>
    <row r="319" spans="1:11" x14ac:dyDescent="0.3">
      <c r="A319" t="s">
        <v>325</v>
      </c>
      <c r="B319">
        <v>40</v>
      </c>
      <c r="C319">
        <v>80</v>
      </c>
      <c r="D319">
        <v>120.0000076293945</v>
      </c>
      <c r="E319" t="s">
        <v>325</v>
      </c>
      <c r="F319">
        <v>48.241584777832031</v>
      </c>
      <c r="G319">
        <v>62.848651885986328</v>
      </c>
      <c r="H319">
        <v>111.09023284912109</v>
      </c>
      <c r="I319" s="5" t="str">
        <f t="shared" si="15"/>
        <v>High</v>
      </c>
      <c r="J319" s="5" t="str">
        <f t="shared" si="16"/>
        <v>High</v>
      </c>
      <c r="K319" s="6">
        <f t="shared" si="17"/>
        <v>1</v>
      </c>
    </row>
    <row r="320" spans="1:11" x14ac:dyDescent="0.3">
      <c r="A320" t="s">
        <v>326</v>
      </c>
      <c r="B320">
        <v>40</v>
      </c>
      <c r="C320">
        <v>80</v>
      </c>
      <c r="D320">
        <v>120.0000076293945</v>
      </c>
      <c r="E320" t="s">
        <v>326</v>
      </c>
      <c r="F320">
        <v>35.504055023193359</v>
      </c>
      <c r="G320">
        <v>43.600593566894531</v>
      </c>
      <c r="H320">
        <v>79.104652404785156</v>
      </c>
      <c r="I320" s="5" t="str">
        <f t="shared" si="15"/>
        <v>High</v>
      </c>
      <c r="J320" s="5" t="str">
        <f t="shared" si="16"/>
        <v>High</v>
      </c>
      <c r="K320" s="6">
        <f t="shared" si="17"/>
        <v>0</v>
      </c>
    </row>
    <row r="321" spans="1:11" x14ac:dyDescent="0.3">
      <c r="A321" t="s">
        <v>327</v>
      </c>
      <c r="B321">
        <v>40</v>
      </c>
      <c r="C321">
        <v>80</v>
      </c>
      <c r="D321">
        <v>120.0000076293945</v>
      </c>
      <c r="E321" t="s">
        <v>327</v>
      </c>
      <c r="F321">
        <v>40.613548278808587</v>
      </c>
      <c r="G321">
        <v>45.684459686279297</v>
      </c>
      <c r="H321">
        <v>86.298004150390625</v>
      </c>
      <c r="I321" s="5" t="str">
        <f t="shared" si="15"/>
        <v>High</v>
      </c>
      <c r="J321" s="5" t="str">
        <f t="shared" si="16"/>
        <v>High</v>
      </c>
      <c r="K321" s="6">
        <f t="shared" si="17"/>
        <v>0</v>
      </c>
    </row>
    <row r="322" spans="1:11" x14ac:dyDescent="0.3">
      <c r="A322" t="s">
        <v>328</v>
      </c>
      <c r="B322">
        <v>40</v>
      </c>
      <c r="C322">
        <v>80</v>
      </c>
      <c r="D322">
        <v>120.0000076293945</v>
      </c>
      <c r="E322" t="s">
        <v>328</v>
      </c>
      <c r="F322">
        <v>31.21367073059082</v>
      </c>
      <c r="G322">
        <v>39.982044219970703</v>
      </c>
      <c r="H322">
        <v>71.195716857910156</v>
      </c>
      <c r="I322" s="5" t="str">
        <f t="shared" si="15"/>
        <v>High</v>
      </c>
      <c r="J322" s="5" t="str">
        <f t="shared" si="16"/>
        <v>High</v>
      </c>
      <c r="K322" s="6">
        <f t="shared" si="17"/>
        <v>0</v>
      </c>
    </row>
    <row r="323" spans="1:11" x14ac:dyDescent="0.3">
      <c r="A323" t="s">
        <v>329</v>
      </c>
      <c r="B323">
        <v>50</v>
      </c>
      <c r="C323">
        <v>60.000003814697273</v>
      </c>
      <c r="D323">
        <v>110</v>
      </c>
      <c r="E323" t="s">
        <v>329</v>
      </c>
      <c r="F323">
        <v>40.702274322509773</v>
      </c>
      <c r="G323">
        <v>53.142230987548828</v>
      </c>
      <c r="H323">
        <v>93.844512939453125</v>
      </c>
      <c r="I323" s="5" t="str">
        <f t="shared" si="15"/>
        <v>High</v>
      </c>
      <c r="J323" s="5" t="str">
        <f t="shared" si="16"/>
        <v>High</v>
      </c>
      <c r="K323" s="6">
        <f t="shared" si="17"/>
        <v>1</v>
      </c>
    </row>
    <row r="324" spans="1:11" x14ac:dyDescent="0.3">
      <c r="A324" t="s">
        <v>330</v>
      </c>
      <c r="B324">
        <v>50</v>
      </c>
      <c r="C324">
        <v>60.000003814697273</v>
      </c>
      <c r="D324">
        <v>110</v>
      </c>
      <c r="E324" t="s">
        <v>330</v>
      </c>
      <c r="F324">
        <v>36.182277679443359</v>
      </c>
      <c r="G324">
        <v>44.342941284179688</v>
      </c>
      <c r="H324">
        <v>80.525222778320313</v>
      </c>
      <c r="I324" s="5" t="str">
        <f t="shared" si="15"/>
        <v>High</v>
      </c>
      <c r="J324" s="5" t="str">
        <f t="shared" si="16"/>
        <v>High</v>
      </c>
      <c r="K324" s="6">
        <f t="shared" si="17"/>
        <v>1</v>
      </c>
    </row>
    <row r="325" spans="1:11" x14ac:dyDescent="0.3">
      <c r="A325" t="s">
        <v>331</v>
      </c>
      <c r="B325">
        <v>50</v>
      </c>
      <c r="C325">
        <v>60.000003814697273</v>
      </c>
      <c r="D325">
        <v>110</v>
      </c>
      <c r="E325" t="s">
        <v>331</v>
      </c>
      <c r="F325">
        <v>36.122806549072273</v>
      </c>
      <c r="G325">
        <v>43.302783966064453</v>
      </c>
      <c r="H325">
        <v>79.425582885742188</v>
      </c>
      <c r="I325" s="5" t="str">
        <f t="shared" ref="I325:I388" si="18" xml:space="preserve"> IF(D325 &lt;= 39, "Low",
               IF(D325 &lt;= 69, "Medium", "High"))</f>
        <v>High</v>
      </c>
      <c r="J325" s="5" t="str">
        <f t="shared" ref="J325:J388" si="19" xml:space="preserve"> IF(H325 &lt;= 39, "Low",
               IF(H325 &lt;= 69, "Medium", "High"))</f>
        <v>High</v>
      </c>
      <c r="K325" s="6">
        <f t="shared" ref="K325:K388" si="20" xml:space="preserve"> IF(ABS(D325 - H325) &lt;= 30, 1, 0)</f>
        <v>0</v>
      </c>
    </row>
    <row r="326" spans="1:11" x14ac:dyDescent="0.3">
      <c r="A326" t="s">
        <v>332</v>
      </c>
      <c r="B326">
        <v>50</v>
      </c>
      <c r="C326">
        <v>60.000003814697273</v>
      </c>
      <c r="D326">
        <v>110</v>
      </c>
      <c r="E326" t="s">
        <v>332</v>
      </c>
      <c r="F326">
        <v>38.193477630615227</v>
      </c>
      <c r="G326">
        <v>49.026027679443359</v>
      </c>
      <c r="H326">
        <v>87.219497680664063</v>
      </c>
      <c r="I326" s="5" t="str">
        <f t="shared" si="18"/>
        <v>High</v>
      </c>
      <c r="J326" s="5" t="str">
        <f t="shared" si="19"/>
        <v>High</v>
      </c>
      <c r="K326" s="6">
        <f t="shared" si="20"/>
        <v>1</v>
      </c>
    </row>
    <row r="327" spans="1:11" x14ac:dyDescent="0.3">
      <c r="A327" t="s">
        <v>333</v>
      </c>
      <c r="B327">
        <v>50</v>
      </c>
      <c r="C327">
        <v>60.000003814697273</v>
      </c>
      <c r="D327">
        <v>110</v>
      </c>
      <c r="E327" t="s">
        <v>333</v>
      </c>
      <c r="F327">
        <v>45.199863433837891</v>
      </c>
      <c r="G327">
        <v>51.19244384765625</v>
      </c>
      <c r="H327">
        <v>96.392311096191406</v>
      </c>
      <c r="I327" s="5" t="str">
        <f t="shared" si="18"/>
        <v>High</v>
      </c>
      <c r="J327" s="5" t="str">
        <f t="shared" si="19"/>
        <v>High</v>
      </c>
      <c r="K327" s="6">
        <f t="shared" si="20"/>
        <v>1</v>
      </c>
    </row>
    <row r="328" spans="1:11" x14ac:dyDescent="0.3">
      <c r="A328" t="s">
        <v>334</v>
      </c>
      <c r="B328">
        <v>50</v>
      </c>
      <c r="C328">
        <v>60.000003814697273</v>
      </c>
      <c r="D328">
        <v>110</v>
      </c>
      <c r="E328" t="s">
        <v>334</v>
      </c>
      <c r="F328">
        <v>50.000953674316413</v>
      </c>
      <c r="G328">
        <v>54.173332214355469</v>
      </c>
      <c r="H328">
        <v>104.1742782592773</v>
      </c>
      <c r="I328" s="5" t="str">
        <f t="shared" si="18"/>
        <v>High</v>
      </c>
      <c r="J328" s="5" t="str">
        <f t="shared" si="19"/>
        <v>High</v>
      </c>
      <c r="K328" s="6">
        <f t="shared" si="20"/>
        <v>1</v>
      </c>
    </row>
    <row r="329" spans="1:11" x14ac:dyDescent="0.3">
      <c r="A329" t="s">
        <v>335</v>
      </c>
      <c r="B329">
        <v>90</v>
      </c>
      <c r="C329">
        <v>90</v>
      </c>
      <c r="D329">
        <v>180</v>
      </c>
      <c r="E329" t="s">
        <v>335</v>
      </c>
      <c r="F329">
        <v>39.961612701416023</v>
      </c>
      <c r="G329">
        <v>45.006828308105469</v>
      </c>
      <c r="H329">
        <v>84.96844482421875</v>
      </c>
      <c r="I329" s="5" t="str">
        <f t="shared" si="18"/>
        <v>High</v>
      </c>
      <c r="J329" s="5" t="str">
        <f t="shared" si="19"/>
        <v>High</v>
      </c>
      <c r="K329" s="6">
        <f t="shared" si="20"/>
        <v>0</v>
      </c>
    </row>
    <row r="330" spans="1:11" x14ac:dyDescent="0.3">
      <c r="A330" t="s">
        <v>336</v>
      </c>
      <c r="B330">
        <v>90</v>
      </c>
      <c r="C330">
        <v>90</v>
      </c>
      <c r="D330">
        <v>180</v>
      </c>
      <c r="E330" t="s">
        <v>336</v>
      </c>
      <c r="F330">
        <v>40.852210998535163</v>
      </c>
      <c r="G330">
        <v>48.726161956787109</v>
      </c>
      <c r="H330">
        <v>89.578376770019531</v>
      </c>
      <c r="I330" s="5" t="str">
        <f t="shared" si="18"/>
        <v>High</v>
      </c>
      <c r="J330" s="5" t="str">
        <f t="shared" si="19"/>
        <v>High</v>
      </c>
      <c r="K330" s="6">
        <f t="shared" si="20"/>
        <v>0</v>
      </c>
    </row>
    <row r="331" spans="1:11" x14ac:dyDescent="0.3">
      <c r="A331" t="s">
        <v>337</v>
      </c>
      <c r="B331">
        <v>90</v>
      </c>
      <c r="C331">
        <v>90</v>
      </c>
      <c r="D331">
        <v>180</v>
      </c>
      <c r="E331" t="s">
        <v>337</v>
      </c>
      <c r="F331">
        <v>46.608783721923828</v>
      </c>
      <c r="G331">
        <v>53.2791748046875</v>
      </c>
      <c r="H331">
        <v>99.887954711914063</v>
      </c>
      <c r="I331" s="5" t="str">
        <f t="shared" si="18"/>
        <v>High</v>
      </c>
      <c r="J331" s="5" t="str">
        <f t="shared" si="19"/>
        <v>High</v>
      </c>
      <c r="K331" s="6">
        <f t="shared" si="20"/>
        <v>0</v>
      </c>
    </row>
    <row r="332" spans="1:11" x14ac:dyDescent="0.3">
      <c r="A332" t="s">
        <v>338</v>
      </c>
      <c r="B332">
        <v>90</v>
      </c>
      <c r="C332">
        <v>90</v>
      </c>
      <c r="D332">
        <v>180</v>
      </c>
      <c r="E332" t="s">
        <v>338</v>
      </c>
      <c r="F332">
        <v>37.000434875488281</v>
      </c>
      <c r="G332">
        <v>47.565876007080078</v>
      </c>
      <c r="H332">
        <v>84.566314697265625</v>
      </c>
      <c r="I332" s="5" t="str">
        <f t="shared" si="18"/>
        <v>High</v>
      </c>
      <c r="J332" s="5" t="str">
        <f t="shared" si="19"/>
        <v>High</v>
      </c>
      <c r="K332" s="6">
        <f t="shared" si="20"/>
        <v>0</v>
      </c>
    </row>
    <row r="333" spans="1:11" x14ac:dyDescent="0.3">
      <c r="A333" t="s">
        <v>339</v>
      </c>
      <c r="B333">
        <v>90</v>
      </c>
      <c r="C333">
        <v>90</v>
      </c>
      <c r="D333">
        <v>180</v>
      </c>
      <c r="E333" t="s">
        <v>339</v>
      </c>
      <c r="F333">
        <v>41.497756958007813</v>
      </c>
      <c r="G333">
        <v>50.704021453857422</v>
      </c>
      <c r="H333">
        <v>92.201774597167969</v>
      </c>
      <c r="I333" s="5" t="str">
        <f t="shared" si="18"/>
        <v>High</v>
      </c>
      <c r="J333" s="5" t="str">
        <f t="shared" si="19"/>
        <v>High</v>
      </c>
      <c r="K333" s="6">
        <f t="shared" si="20"/>
        <v>0</v>
      </c>
    </row>
    <row r="334" spans="1:11" x14ac:dyDescent="0.3">
      <c r="A334" t="s">
        <v>340</v>
      </c>
      <c r="B334">
        <v>90</v>
      </c>
      <c r="C334">
        <v>90</v>
      </c>
      <c r="D334">
        <v>180</v>
      </c>
      <c r="E334" t="s">
        <v>340</v>
      </c>
      <c r="F334">
        <v>35.36981201171875</v>
      </c>
      <c r="G334">
        <v>42.793014526367188</v>
      </c>
      <c r="H334">
        <v>78.162826538085938</v>
      </c>
      <c r="I334" s="5" t="str">
        <f t="shared" si="18"/>
        <v>High</v>
      </c>
      <c r="J334" s="5" t="str">
        <f t="shared" si="19"/>
        <v>High</v>
      </c>
      <c r="K334" s="6">
        <f t="shared" si="20"/>
        <v>0</v>
      </c>
    </row>
    <row r="335" spans="1:11" x14ac:dyDescent="0.3">
      <c r="A335" t="s">
        <v>341</v>
      </c>
      <c r="B335">
        <v>40</v>
      </c>
      <c r="C335">
        <v>50</v>
      </c>
      <c r="D335">
        <v>90</v>
      </c>
      <c r="E335" t="s">
        <v>341</v>
      </c>
      <c r="F335">
        <v>40.166027069091797</v>
      </c>
      <c r="G335">
        <v>49.246746063232422</v>
      </c>
      <c r="H335">
        <v>89.412773132324219</v>
      </c>
      <c r="I335" s="5" t="str">
        <f t="shared" si="18"/>
        <v>High</v>
      </c>
      <c r="J335" s="5" t="str">
        <f t="shared" si="19"/>
        <v>High</v>
      </c>
      <c r="K335" s="6">
        <f t="shared" si="20"/>
        <v>1</v>
      </c>
    </row>
    <row r="336" spans="1:11" x14ac:dyDescent="0.3">
      <c r="A336" t="s">
        <v>342</v>
      </c>
      <c r="B336">
        <v>40</v>
      </c>
      <c r="C336">
        <v>50</v>
      </c>
      <c r="D336">
        <v>90</v>
      </c>
      <c r="E336" t="s">
        <v>342</v>
      </c>
      <c r="F336">
        <v>35.737400054931641</v>
      </c>
      <c r="G336">
        <v>37.086170196533203</v>
      </c>
      <c r="H336">
        <v>72.823570251464844</v>
      </c>
      <c r="I336" s="5" t="str">
        <f t="shared" si="18"/>
        <v>High</v>
      </c>
      <c r="J336" s="5" t="str">
        <f t="shared" si="19"/>
        <v>High</v>
      </c>
      <c r="K336" s="6">
        <f t="shared" si="20"/>
        <v>1</v>
      </c>
    </row>
    <row r="337" spans="1:11" x14ac:dyDescent="0.3">
      <c r="A337" t="s">
        <v>343</v>
      </c>
      <c r="B337">
        <v>40</v>
      </c>
      <c r="C337">
        <v>50</v>
      </c>
      <c r="D337">
        <v>90</v>
      </c>
      <c r="E337" t="s">
        <v>343</v>
      </c>
      <c r="F337">
        <v>36.710720062255859</v>
      </c>
      <c r="G337">
        <v>43.491035461425781</v>
      </c>
      <c r="H337">
        <v>80.201759338378906</v>
      </c>
      <c r="I337" s="5" t="str">
        <f t="shared" si="18"/>
        <v>High</v>
      </c>
      <c r="J337" s="5" t="str">
        <f t="shared" si="19"/>
        <v>High</v>
      </c>
      <c r="K337" s="6">
        <f t="shared" si="20"/>
        <v>1</v>
      </c>
    </row>
    <row r="338" spans="1:11" x14ac:dyDescent="0.3">
      <c r="A338" t="s">
        <v>344</v>
      </c>
      <c r="B338">
        <v>40</v>
      </c>
      <c r="C338">
        <v>50</v>
      </c>
      <c r="D338">
        <v>90</v>
      </c>
      <c r="E338" t="s">
        <v>344</v>
      </c>
      <c r="F338">
        <v>64.488243103027344</v>
      </c>
      <c r="G338">
        <v>99.692886352539063</v>
      </c>
      <c r="H338">
        <v>164.18113708496091</v>
      </c>
      <c r="I338" s="5" t="str">
        <f t="shared" si="18"/>
        <v>High</v>
      </c>
      <c r="J338" s="5" t="str">
        <f t="shared" si="19"/>
        <v>High</v>
      </c>
      <c r="K338" s="6">
        <f t="shared" si="20"/>
        <v>0</v>
      </c>
    </row>
    <row r="339" spans="1:11" x14ac:dyDescent="0.3">
      <c r="A339" t="s">
        <v>345</v>
      </c>
      <c r="B339">
        <v>40</v>
      </c>
      <c r="C339">
        <v>50</v>
      </c>
      <c r="D339">
        <v>90</v>
      </c>
      <c r="E339" t="s">
        <v>345</v>
      </c>
      <c r="F339">
        <v>57.921909332275391</v>
      </c>
      <c r="G339">
        <v>93.986480712890625</v>
      </c>
      <c r="H339">
        <v>151.90840148925781</v>
      </c>
      <c r="I339" s="5" t="str">
        <f t="shared" si="18"/>
        <v>High</v>
      </c>
      <c r="J339" s="5" t="str">
        <f t="shared" si="19"/>
        <v>High</v>
      </c>
      <c r="K339" s="6">
        <f t="shared" si="20"/>
        <v>0</v>
      </c>
    </row>
    <row r="340" spans="1:11" x14ac:dyDescent="0.3">
      <c r="A340" t="s">
        <v>346</v>
      </c>
      <c r="B340">
        <v>40</v>
      </c>
      <c r="C340">
        <v>50</v>
      </c>
      <c r="D340">
        <v>90</v>
      </c>
      <c r="E340" t="s">
        <v>346</v>
      </c>
      <c r="F340">
        <v>57.633678436279297</v>
      </c>
      <c r="G340">
        <v>85.679641723632813</v>
      </c>
      <c r="H340">
        <v>143.31330871582031</v>
      </c>
      <c r="I340" s="5" t="str">
        <f t="shared" si="18"/>
        <v>High</v>
      </c>
      <c r="J340" s="5" t="str">
        <f t="shared" si="19"/>
        <v>High</v>
      </c>
      <c r="K340" s="6">
        <f t="shared" si="20"/>
        <v>0</v>
      </c>
    </row>
    <row r="341" spans="1:11" x14ac:dyDescent="0.3">
      <c r="A341" t="s">
        <v>347</v>
      </c>
      <c r="B341">
        <v>90</v>
      </c>
      <c r="C341">
        <v>100</v>
      </c>
      <c r="D341">
        <v>190</v>
      </c>
      <c r="E341" t="s">
        <v>347</v>
      </c>
      <c r="F341">
        <v>48.39459228515625</v>
      </c>
      <c r="G341">
        <v>70.151802062988281</v>
      </c>
      <c r="H341">
        <v>118.54638671875</v>
      </c>
      <c r="I341" s="5" t="str">
        <f t="shared" si="18"/>
        <v>High</v>
      </c>
      <c r="J341" s="5" t="str">
        <f t="shared" si="19"/>
        <v>High</v>
      </c>
      <c r="K341" s="6">
        <f t="shared" si="20"/>
        <v>0</v>
      </c>
    </row>
    <row r="342" spans="1:11" x14ac:dyDescent="0.3">
      <c r="A342" t="s">
        <v>348</v>
      </c>
      <c r="B342">
        <v>90</v>
      </c>
      <c r="C342">
        <v>100</v>
      </c>
      <c r="D342">
        <v>190</v>
      </c>
      <c r="E342" t="s">
        <v>348</v>
      </c>
      <c r="F342">
        <v>57.077552795410163</v>
      </c>
      <c r="G342">
        <v>84.729782104492188</v>
      </c>
      <c r="H342">
        <v>141.80732727050781</v>
      </c>
      <c r="I342" s="5" t="str">
        <f t="shared" si="18"/>
        <v>High</v>
      </c>
      <c r="J342" s="5" t="str">
        <f t="shared" si="19"/>
        <v>High</v>
      </c>
      <c r="K342" s="6">
        <f t="shared" si="20"/>
        <v>0</v>
      </c>
    </row>
    <row r="343" spans="1:11" x14ac:dyDescent="0.3">
      <c r="A343" t="s">
        <v>349</v>
      </c>
      <c r="B343">
        <v>90</v>
      </c>
      <c r="C343">
        <v>100</v>
      </c>
      <c r="D343">
        <v>190</v>
      </c>
      <c r="E343" t="s">
        <v>349</v>
      </c>
      <c r="F343">
        <v>59.353248596191413</v>
      </c>
      <c r="G343">
        <v>84.997947692871094</v>
      </c>
      <c r="H343">
        <v>144.3511962890625</v>
      </c>
      <c r="I343" s="5" t="str">
        <f t="shared" si="18"/>
        <v>High</v>
      </c>
      <c r="J343" s="5" t="str">
        <f t="shared" si="19"/>
        <v>High</v>
      </c>
      <c r="K343" s="6">
        <f t="shared" si="20"/>
        <v>0</v>
      </c>
    </row>
    <row r="344" spans="1:11" x14ac:dyDescent="0.3">
      <c r="A344" t="s">
        <v>350</v>
      </c>
      <c r="B344">
        <v>90</v>
      </c>
      <c r="C344">
        <v>100</v>
      </c>
      <c r="D344">
        <v>190</v>
      </c>
      <c r="E344" t="s">
        <v>350</v>
      </c>
      <c r="F344">
        <v>54.66082763671875</v>
      </c>
      <c r="G344">
        <v>79.079757690429688</v>
      </c>
      <c r="H344">
        <v>133.74058532714841</v>
      </c>
      <c r="I344" s="5" t="str">
        <f t="shared" si="18"/>
        <v>High</v>
      </c>
      <c r="J344" s="5" t="str">
        <f t="shared" si="19"/>
        <v>High</v>
      </c>
      <c r="K344" s="6">
        <f t="shared" si="20"/>
        <v>0</v>
      </c>
    </row>
    <row r="345" spans="1:11" x14ac:dyDescent="0.3">
      <c r="A345" t="s">
        <v>351</v>
      </c>
      <c r="B345">
        <v>90</v>
      </c>
      <c r="C345">
        <v>100</v>
      </c>
      <c r="D345">
        <v>190</v>
      </c>
      <c r="E345" t="s">
        <v>351</v>
      </c>
      <c r="F345">
        <v>56.568801879882813</v>
      </c>
      <c r="G345">
        <v>77.972862243652344</v>
      </c>
      <c r="H345">
        <v>134.5416564941406</v>
      </c>
      <c r="I345" s="5" t="str">
        <f t="shared" si="18"/>
        <v>High</v>
      </c>
      <c r="J345" s="5" t="str">
        <f t="shared" si="19"/>
        <v>High</v>
      </c>
      <c r="K345" s="6">
        <f t="shared" si="20"/>
        <v>0</v>
      </c>
    </row>
    <row r="346" spans="1:11" x14ac:dyDescent="0.3">
      <c r="A346" t="s">
        <v>352</v>
      </c>
      <c r="B346">
        <v>90</v>
      </c>
      <c r="C346">
        <v>100</v>
      </c>
      <c r="D346">
        <v>190</v>
      </c>
      <c r="E346" t="s">
        <v>352</v>
      </c>
      <c r="F346">
        <v>68.52984619140625</v>
      </c>
      <c r="G346">
        <v>103.9927978515625</v>
      </c>
      <c r="H346">
        <v>172.52264404296881</v>
      </c>
      <c r="I346" s="5" t="str">
        <f t="shared" si="18"/>
        <v>High</v>
      </c>
      <c r="J346" s="5" t="str">
        <f t="shared" si="19"/>
        <v>High</v>
      </c>
      <c r="K346" s="6">
        <f t="shared" si="20"/>
        <v>1</v>
      </c>
    </row>
    <row r="347" spans="1:11" x14ac:dyDescent="0.3">
      <c r="A347" t="s">
        <v>353</v>
      </c>
      <c r="B347">
        <v>90</v>
      </c>
      <c r="C347">
        <v>90</v>
      </c>
      <c r="D347">
        <v>180</v>
      </c>
      <c r="E347" t="s">
        <v>353</v>
      </c>
      <c r="F347">
        <v>65.7537841796875</v>
      </c>
      <c r="G347">
        <v>97.008934020996094</v>
      </c>
      <c r="H347">
        <v>162.76271057128909</v>
      </c>
      <c r="I347" s="5" t="str">
        <f t="shared" si="18"/>
        <v>High</v>
      </c>
      <c r="J347" s="5" t="str">
        <f t="shared" si="19"/>
        <v>High</v>
      </c>
      <c r="K347" s="6">
        <f t="shared" si="20"/>
        <v>1</v>
      </c>
    </row>
    <row r="348" spans="1:11" x14ac:dyDescent="0.3">
      <c r="A348" t="s">
        <v>354</v>
      </c>
      <c r="B348">
        <v>90</v>
      </c>
      <c r="C348">
        <v>90</v>
      </c>
      <c r="D348">
        <v>180</v>
      </c>
      <c r="E348" t="s">
        <v>354</v>
      </c>
      <c r="F348">
        <v>57.478065490722663</v>
      </c>
      <c r="G348">
        <v>84.294944763183594</v>
      </c>
      <c r="H348">
        <v>141.77301025390619</v>
      </c>
      <c r="I348" s="5" t="str">
        <f t="shared" si="18"/>
        <v>High</v>
      </c>
      <c r="J348" s="5" t="str">
        <f t="shared" si="19"/>
        <v>High</v>
      </c>
      <c r="K348" s="6">
        <f t="shared" si="20"/>
        <v>0</v>
      </c>
    </row>
    <row r="349" spans="1:11" x14ac:dyDescent="0.3">
      <c r="A349" t="s">
        <v>355</v>
      </c>
      <c r="B349">
        <v>90</v>
      </c>
      <c r="C349">
        <v>90</v>
      </c>
      <c r="D349">
        <v>180</v>
      </c>
      <c r="E349" t="s">
        <v>355</v>
      </c>
      <c r="F349">
        <v>59.023307800292969</v>
      </c>
      <c r="G349">
        <v>84.592071533203125</v>
      </c>
      <c r="H349">
        <v>143.6153869628906</v>
      </c>
      <c r="I349" s="5" t="str">
        <f t="shared" si="18"/>
        <v>High</v>
      </c>
      <c r="J349" s="5" t="str">
        <f t="shared" si="19"/>
        <v>High</v>
      </c>
      <c r="K349" s="6">
        <f t="shared" si="20"/>
        <v>0</v>
      </c>
    </row>
    <row r="350" spans="1:11" x14ac:dyDescent="0.3">
      <c r="A350" t="s">
        <v>356</v>
      </c>
      <c r="B350">
        <v>90</v>
      </c>
      <c r="C350">
        <v>90</v>
      </c>
      <c r="D350">
        <v>180</v>
      </c>
      <c r="E350" t="s">
        <v>356</v>
      </c>
      <c r="F350">
        <v>45.782192230224609</v>
      </c>
      <c r="G350">
        <v>60.060447692871087</v>
      </c>
      <c r="H350">
        <v>105.84263610839839</v>
      </c>
      <c r="I350" s="5" t="str">
        <f t="shared" si="18"/>
        <v>High</v>
      </c>
      <c r="J350" s="5" t="str">
        <f t="shared" si="19"/>
        <v>High</v>
      </c>
      <c r="K350" s="6">
        <f t="shared" si="20"/>
        <v>0</v>
      </c>
    </row>
    <row r="351" spans="1:11" x14ac:dyDescent="0.3">
      <c r="A351" t="s">
        <v>357</v>
      </c>
      <c r="B351">
        <v>90</v>
      </c>
      <c r="C351">
        <v>90</v>
      </c>
      <c r="D351">
        <v>180</v>
      </c>
      <c r="E351" t="s">
        <v>357</v>
      </c>
      <c r="F351">
        <v>49.027778625488281</v>
      </c>
      <c r="G351">
        <v>62.918781280517578</v>
      </c>
      <c r="H351">
        <v>111.94655609130859</v>
      </c>
      <c r="I351" s="5" t="str">
        <f t="shared" si="18"/>
        <v>High</v>
      </c>
      <c r="J351" s="5" t="str">
        <f t="shared" si="19"/>
        <v>High</v>
      </c>
      <c r="K351" s="6">
        <f t="shared" si="20"/>
        <v>0</v>
      </c>
    </row>
    <row r="352" spans="1:11" x14ac:dyDescent="0.3">
      <c r="A352" t="s">
        <v>358</v>
      </c>
      <c r="B352">
        <v>90</v>
      </c>
      <c r="C352">
        <v>90</v>
      </c>
      <c r="D352">
        <v>180</v>
      </c>
      <c r="E352" t="s">
        <v>358</v>
      </c>
      <c r="F352">
        <v>45.602054595947273</v>
      </c>
      <c r="G352">
        <v>56.440101623535163</v>
      </c>
      <c r="H352">
        <v>102.0421524047852</v>
      </c>
      <c r="I352" s="5" t="str">
        <f t="shared" si="18"/>
        <v>High</v>
      </c>
      <c r="J352" s="5" t="str">
        <f t="shared" si="19"/>
        <v>High</v>
      </c>
      <c r="K352" s="6">
        <f t="shared" si="20"/>
        <v>0</v>
      </c>
    </row>
    <row r="353" spans="1:11" x14ac:dyDescent="0.3">
      <c r="A353" t="s">
        <v>359</v>
      </c>
      <c r="B353">
        <v>90</v>
      </c>
      <c r="C353">
        <v>90</v>
      </c>
      <c r="D353">
        <v>180</v>
      </c>
      <c r="E353" t="s">
        <v>359</v>
      </c>
      <c r="F353">
        <v>49.946857452392578</v>
      </c>
      <c r="G353">
        <v>74.432136535644531</v>
      </c>
      <c r="H353">
        <v>124.3789901733398</v>
      </c>
      <c r="I353" s="5" t="str">
        <f t="shared" si="18"/>
        <v>High</v>
      </c>
      <c r="J353" s="5" t="str">
        <f t="shared" si="19"/>
        <v>High</v>
      </c>
      <c r="K353" s="6">
        <f t="shared" si="20"/>
        <v>0</v>
      </c>
    </row>
    <row r="354" spans="1:11" x14ac:dyDescent="0.3">
      <c r="A354" t="s">
        <v>360</v>
      </c>
      <c r="B354">
        <v>90</v>
      </c>
      <c r="C354">
        <v>90</v>
      </c>
      <c r="D354">
        <v>180</v>
      </c>
      <c r="E354" t="s">
        <v>360</v>
      </c>
      <c r="F354">
        <v>51.385055541992188</v>
      </c>
      <c r="G354">
        <v>68.221672058105469</v>
      </c>
      <c r="H354">
        <v>119.6067352294922</v>
      </c>
      <c r="I354" s="5" t="str">
        <f t="shared" si="18"/>
        <v>High</v>
      </c>
      <c r="J354" s="5" t="str">
        <f t="shared" si="19"/>
        <v>High</v>
      </c>
      <c r="K354" s="6">
        <f t="shared" si="20"/>
        <v>0</v>
      </c>
    </row>
    <row r="355" spans="1:11" x14ac:dyDescent="0.3">
      <c r="A355" t="s">
        <v>361</v>
      </c>
      <c r="B355">
        <v>90</v>
      </c>
      <c r="C355">
        <v>90</v>
      </c>
      <c r="D355">
        <v>180</v>
      </c>
      <c r="E355" t="s">
        <v>361</v>
      </c>
      <c r="F355">
        <v>51.011276245117188</v>
      </c>
      <c r="G355">
        <v>65.991081237792969</v>
      </c>
      <c r="H355">
        <v>117.0023574829102</v>
      </c>
      <c r="I355" s="5" t="str">
        <f t="shared" si="18"/>
        <v>High</v>
      </c>
      <c r="J355" s="5" t="str">
        <f t="shared" si="19"/>
        <v>High</v>
      </c>
      <c r="K355" s="6">
        <f t="shared" si="20"/>
        <v>0</v>
      </c>
    </row>
    <row r="356" spans="1:11" x14ac:dyDescent="0.3">
      <c r="A356" t="s">
        <v>362</v>
      </c>
      <c r="B356">
        <v>90</v>
      </c>
      <c r="C356">
        <v>90</v>
      </c>
      <c r="D356">
        <v>180</v>
      </c>
      <c r="E356" t="s">
        <v>362</v>
      </c>
      <c r="F356">
        <v>59.726058959960938</v>
      </c>
      <c r="G356">
        <v>88.503562927246094</v>
      </c>
      <c r="H356">
        <v>148.22962951660159</v>
      </c>
      <c r="I356" s="5" t="str">
        <f t="shared" si="18"/>
        <v>High</v>
      </c>
      <c r="J356" s="5" t="str">
        <f t="shared" si="19"/>
        <v>High</v>
      </c>
      <c r="K356" s="6">
        <f t="shared" si="20"/>
        <v>0</v>
      </c>
    </row>
    <row r="357" spans="1:11" x14ac:dyDescent="0.3">
      <c r="A357" t="s">
        <v>363</v>
      </c>
      <c r="B357">
        <v>90</v>
      </c>
      <c r="C357">
        <v>90</v>
      </c>
      <c r="D357">
        <v>180</v>
      </c>
      <c r="E357" t="s">
        <v>363</v>
      </c>
      <c r="F357">
        <v>51.297210693359382</v>
      </c>
      <c r="G357">
        <v>73.448493957519531</v>
      </c>
      <c r="H357">
        <v>124.74570465087891</v>
      </c>
      <c r="I357" s="5" t="str">
        <f t="shared" si="18"/>
        <v>High</v>
      </c>
      <c r="J357" s="5" t="str">
        <f t="shared" si="19"/>
        <v>High</v>
      </c>
      <c r="K357" s="6">
        <f t="shared" si="20"/>
        <v>0</v>
      </c>
    </row>
    <row r="358" spans="1:11" x14ac:dyDescent="0.3">
      <c r="A358" t="s">
        <v>364</v>
      </c>
      <c r="B358">
        <v>90</v>
      </c>
      <c r="C358">
        <v>90</v>
      </c>
      <c r="D358">
        <v>180</v>
      </c>
      <c r="E358" t="s">
        <v>364</v>
      </c>
      <c r="F358">
        <v>49.938179016113281</v>
      </c>
      <c r="G358">
        <v>69.945945739746094</v>
      </c>
      <c r="H358">
        <v>119.88413238525391</v>
      </c>
      <c r="I358" s="5" t="str">
        <f t="shared" si="18"/>
        <v>High</v>
      </c>
      <c r="J358" s="5" t="str">
        <f t="shared" si="19"/>
        <v>High</v>
      </c>
      <c r="K358" s="6">
        <f t="shared" si="20"/>
        <v>0</v>
      </c>
    </row>
    <row r="359" spans="1:11" x14ac:dyDescent="0.3">
      <c r="A359" t="s">
        <v>365</v>
      </c>
      <c r="B359">
        <v>40</v>
      </c>
      <c r="C359">
        <v>90</v>
      </c>
      <c r="D359">
        <v>130</v>
      </c>
      <c r="E359" t="s">
        <v>365</v>
      </c>
      <c r="F359">
        <v>60.691654205322273</v>
      </c>
      <c r="G359">
        <v>87.083343505859375</v>
      </c>
      <c r="H359">
        <v>147.7749938964844</v>
      </c>
      <c r="I359" s="5" t="str">
        <f t="shared" si="18"/>
        <v>High</v>
      </c>
      <c r="J359" s="5" t="str">
        <f t="shared" si="19"/>
        <v>High</v>
      </c>
      <c r="K359" s="6">
        <f t="shared" si="20"/>
        <v>1</v>
      </c>
    </row>
    <row r="360" spans="1:11" x14ac:dyDescent="0.3">
      <c r="A360" t="s">
        <v>366</v>
      </c>
      <c r="B360">
        <v>40</v>
      </c>
      <c r="C360">
        <v>90</v>
      </c>
      <c r="D360">
        <v>130</v>
      </c>
      <c r="E360" t="s">
        <v>366</v>
      </c>
      <c r="F360">
        <v>54.809497833251953</v>
      </c>
      <c r="G360">
        <v>78.153297424316406</v>
      </c>
      <c r="H360">
        <v>132.9627990722656</v>
      </c>
      <c r="I360" s="5" t="str">
        <f t="shared" si="18"/>
        <v>High</v>
      </c>
      <c r="J360" s="5" t="str">
        <f t="shared" si="19"/>
        <v>High</v>
      </c>
      <c r="K360" s="6">
        <f t="shared" si="20"/>
        <v>1</v>
      </c>
    </row>
    <row r="361" spans="1:11" x14ac:dyDescent="0.3">
      <c r="A361" t="s">
        <v>367</v>
      </c>
      <c r="B361">
        <v>40</v>
      </c>
      <c r="C361">
        <v>90</v>
      </c>
      <c r="D361">
        <v>130</v>
      </c>
      <c r="E361" t="s">
        <v>367</v>
      </c>
      <c r="F361">
        <v>58.549545288085938</v>
      </c>
      <c r="G361">
        <v>83.298194885253906</v>
      </c>
      <c r="H361">
        <v>141.8477478027344</v>
      </c>
      <c r="I361" s="5" t="str">
        <f t="shared" si="18"/>
        <v>High</v>
      </c>
      <c r="J361" s="5" t="str">
        <f t="shared" si="19"/>
        <v>High</v>
      </c>
      <c r="K361" s="6">
        <f t="shared" si="20"/>
        <v>1</v>
      </c>
    </row>
    <row r="362" spans="1:11" x14ac:dyDescent="0.3">
      <c r="A362" t="s">
        <v>368</v>
      </c>
      <c r="B362">
        <v>40</v>
      </c>
      <c r="C362">
        <v>90</v>
      </c>
      <c r="D362">
        <v>130</v>
      </c>
      <c r="E362" t="s">
        <v>368</v>
      </c>
      <c r="F362">
        <v>57.930355072021477</v>
      </c>
      <c r="G362">
        <v>86.379783630371094</v>
      </c>
      <c r="H362">
        <v>144.31013488769531</v>
      </c>
      <c r="I362" s="5" t="str">
        <f t="shared" si="18"/>
        <v>High</v>
      </c>
      <c r="J362" s="5" t="str">
        <f t="shared" si="19"/>
        <v>High</v>
      </c>
      <c r="K362" s="6">
        <f t="shared" si="20"/>
        <v>1</v>
      </c>
    </row>
    <row r="363" spans="1:11" x14ac:dyDescent="0.3">
      <c r="A363" t="s">
        <v>369</v>
      </c>
      <c r="B363">
        <v>40</v>
      </c>
      <c r="C363">
        <v>90</v>
      </c>
      <c r="D363">
        <v>130</v>
      </c>
      <c r="E363" t="s">
        <v>369</v>
      </c>
      <c r="F363">
        <v>61.961376190185547</v>
      </c>
      <c r="G363">
        <v>87.044166564941406</v>
      </c>
      <c r="H363">
        <v>149.00553894042969</v>
      </c>
      <c r="I363" s="5" t="str">
        <f t="shared" si="18"/>
        <v>High</v>
      </c>
      <c r="J363" s="5" t="str">
        <f t="shared" si="19"/>
        <v>High</v>
      </c>
      <c r="K363" s="6">
        <f t="shared" si="20"/>
        <v>1</v>
      </c>
    </row>
    <row r="364" spans="1:11" x14ac:dyDescent="0.3">
      <c r="A364" t="s">
        <v>370</v>
      </c>
      <c r="B364">
        <v>40</v>
      </c>
      <c r="C364">
        <v>90</v>
      </c>
      <c r="D364">
        <v>130</v>
      </c>
      <c r="E364" t="s">
        <v>370</v>
      </c>
      <c r="F364">
        <v>63.113189697265618</v>
      </c>
      <c r="G364">
        <v>90.347541809082031</v>
      </c>
      <c r="H364">
        <v>153.4607238769531</v>
      </c>
      <c r="I364" s="5" t="str">
        <f t="shared" si="18"/>
        <v>High</v>
      </c>
      <c r="J364" s="5" t="str">
        <f t="shared" si="19"/>
        <v>High</v>
      </c>
      <c r="K364" s="6">
        <f t="shared" si="20"/>
        <v>1</v>
      </c>
    </row>
    <row r="365" spans="1:11" x14ac:dyDescent="0.3">
      <c r="A365" t="s">
        <v>371</v>
      </c>
      <c r="B365">
        <v>50</v>
      </c>
      <c r="C365">
        <v>90</v>
      </c>
      <c r="D365">
        <v>140</v>
      </c>
      <c r="E365" t="s">
        <v>371</v>
      </c>
      <c r="F365">
        <v>56.885410308837891</v>
      </c>
      <c r="G365">
        <v>75.799217224121094</v>
      </c>
      <c r="H365">
        <v>132.68463134765619</v>
      </c>
      <c r="I365" s="5" t="str">
        <f t="shared" si="18"/>
        <v>High</v>
      </c>
      <c r="J365" s="5" t="str">
        <f t="shared" si="19"/>
        <v>High</v>
      </c>
      <c r="K365" s="6">
        <f t="shared" si="20"/>
        <v>1</v>
      </c>
    </row>
    <row r="366" spans="1:11" x14ac:dyDescent="0.3">
      <c r="A366" t="s">
        <v>372</v>
      </c>
      <c r="B366">
        <v>50</v>
      </c>
      <c r="C366">
        <v>90</v>
      </c>
      <c r="D366">
        <v>140</v>
      </c>
      <c r="E366" t="s">
        <v>372</v>
      </c>
      <c r="F366">
        <v>60.612552642822273</v>
      </c>
      <c r="G366">
        <v>88.059982299804688</v>
      </c>
      <c r="H366">
        <v>148.67253112792969</v>
      </c>
      <c r="I366" s="5" t="str">
        <f t="shared" si="18"/>
        <v>High</v>
      </c>
      <c r="J366" s="5" t="str">
        <f t="shared" si="19"/>
        <v>High</v>
      </c>
      <c r="K366" s="6">
        <f t="shared" si="20"/>
        <v>1</v>
      </c>
    </row>
    <row r="367" spans="1:11" x14ac:dyDescent="0.3">
      <c r="A367" t="s">
        <v>373</v>
      </c>
      <c r="B367">
        <v>50</v>
      </c>
      <c r="C367">
        <v>90</v>
      </c>
      <c r="D367">
        <v>140</v>
      </c>
      <c r="E367" t="s">
        <v>373</v>
      </c>
      <c r="F367">
        <v>61.321693420410163</v>
      </c>
      <c r="G367">
        <v>85.778266906738281</v>
      </c>
      <c r="H367">
        <v>147.09996032714841</v>
      </c>
      <c r="I367" s="5" t="str">
        <f t="shared" si="18"/>
        <v>High</v>
      </c>
      <c r="J367" s="5" t="str">
        <f t="shared" si="19"/>
        <v>High</v>
      </c>
      <c r="K367" s="6">
        <f t="shared" si="20"/>
        <v>1</v>
      </c>
    </row>
    <row r="368" spans="1:11" x14ac:dyDescent="0.3">
      <c r="A368" t="s">
        <v>374</v>
      </c>
      <c r="B368">
        <v>50</v>
      </c>
      <c r="C368">
        <v>90</v>
      </c>
      <c r="D368">
        <v>140</v>
      </c>
      <c r="E368" t="s">
        <v>374</v>
      </c>
      <c r="F368">
        <v>45.664058685302727</v>
      </c>
      <c r="G368">
        <v>65.236541748046875</v>
      </c>
      <c r="H368">
        <v>110.9005889892578</v>
      </c>
      <c r="I368" s="5" t="str">
        <f t="shared" si="18"/>
        <v>High</v>
      </c>
      <c r="J368" s="5" t="str">
        <f t="shared" si="19"/>
        <v>High</v>
      </c>
      <c r="K368" s="6">
        <f t="shared" si="20"/>
        <v>1</v>
      </c>
    </row>
    <row r="369" spans="1:11" x14ac:dyDescent="0.3">
      <c r="A369" t="s">
        <v>375</v>
      </c>
      <c r="B369">
        <v>50</v>
      </c>
      <c r="C369">
        <v>90</v>
      </c>
      <c r="D369">
        <v>140</v>
      </c>
      <c r="E369" t="s">
        <v>375</v>
      </c>
      <c r="F369">
        <v>58.623767852783203</v>
      </c>
      <c r="G369">
        <v>81.938056945800781</v>
      </c>
      <c r="H369">
        <v>140.56181335449219</v>
      </c>
      <c r="I369" s="5" t="str">
        <f t="shared" si="18"/>
        <v>High</v>
      </c>
      <c r="J369" s="5" t="str">
        <f t="shared" si="19"/>
        <v>High</v>
      </c>
      <c r="K369" s="6">
        <f t="shared" si="20"/>
        <v>1</v>
      </c>
    </row>
    <row r="370" spans="1:11" x14ac:dyDescent="0.3">
      <c r="A370" t="s">
        <v>376</v>
      </c>
      <c r="B370">
        <v>50</v>
      </c>
      <c r="C370">
        <v>90</v>
      </c>
      <c r="D370">
        <v>140</v>
      </c>
      <c r="E370" t="s">
        <v>376</v>
      </c>
      <c r="F370">
        <v>55.210136413574219</v>
      </c>
      <c r="G370">
        <v>74.906364440917969</v>
      </c>
      <c r="H370">
        <v>130.11650085449219</v>
      </c>
      <c r="I370" s="5" t="str">
        <f t="shared" si="18"/>
        <v>High</v>
      </c>
      <c r="J370" s="5" t="str">
        <f t="shared" si="19"/>
        <v>High</v>
      </c>
      <c r="K370" s="6">
        <f t="shared" si="20"/>
        <v>1</v>
      </c>
    </row>
    <row r="371" spans="1:11" x14ac:dyDescent="0.3">
      <c r="A371" t="s">
        <v>377</v>
      </c>
      <c r="B371">
        <v>50</v>
      </c>
      <c r="C371">
        <v>90</v>
      </c>
      <c r="D371">
        <v>140</v>
      </c>
      <c r="E371" t="s">
        <v>377</v>
      </c>
      <c r="F371">
        <v>48.980278015136719</v>
      </c>
      <c r="G371">
        <v>62.421154022216797</v>
      </c>
      <c r="H371">
        <v>111.4014358520508</v>
      </c>
      <c r="I371" s="5" t="str">
        <f t="shared" si="18"/>
        <v>High</v>
      </c>
      <c r="J371" s="5" t="str">
        <f t="shared" si="19"/>
        <v>High</v>
      </c>
      <c r="K371" s="6">
        <f t="shared" si="20"/>
        <v>1</v>
      </c>
    </row>
    <row r="372" spans="1:11" x14ac:dyDescent="0.3">
      <c r="A372" t="s">
        <v>378</v>
      </c>
      <c r="B372">
        <v>50</v>
      </c>
      <c r="C372">
        <v>90</v>
      </c>
      <c r="D372">
        <v>140</v>
      </c>
      <c r="E372" t="s">
        <v>378</v>
      </c>
      <c r="F372">
        <v>51.128482818603523</v>
      </c>
      <c r="G372">
        <v>71.899559020996094</v>
      </c>
      <c r="H372">
        <v>123.0280380249023</v>
      </c>
      <c r="I372" s="5" t="str">
        <f t="shared" si="18"/>
        <v>High</v>
      </c>
      <c r="J372" s="5" t="str">
        <f t="shared" si="19"/>
        <v>High</v>
      </c>
      <c r="K372" s="6">
        <f t="shared" si="20"/>
        <v>1</v>
      </c>
    </row>
    <row r="373" spans="1:11" x14ac:dyDescent="0.3">
      <c r="A373" t="s">
        <v>379</v>
      </c>
      <c r="B373">
        <v>50</v>
      </c>
      <c r="C373">
        <v>90</v>
      </c>
      <c r="D373">
        <v>140</v>
      </c>
      <c r="E373" t="s">
        <v>379</v>
      </c>
      <c r="F373">
        <v>61.610012054443359</v>
      </c>
      <c r="G373">
        <v>89.234710693359375</v>
      </c>
      <c r="H373">
        <v>150.84471130371091</v>
      </c>
      <c r="I373" s="5" t="str">
        <f t="shared" si="18"/>
        <v>High</v>
      </c>
      <c r="J373" s="5" t="str">
        <f t="shared" si="19"/>
        <v>High</v>
      </c>
      <c r="K373" s="6">
        <f t="shared" si="20"/>
        <v>1</v>
      </c>
    </row>
    <row r="374" spans="1:11" x14ac:dyDescent="0.3">
      <c r="A374" t="s">
        <v>380</v>
      </c>
      <c r="B374">
        <v>50</v>
      </c>
      <c r="C374">
        <v>90</v>
      </c>
      <c r="D374">
        <v>140</v>
      </c>
      <c r="E374" t="s">
        <v>380</v>
      </c>
      <c r="F374">
        <v>68.029991149902344</v>
      </c>
      <c r="G374">
        <v>94.839324951171875</v>
      </c>
      <c r="H374">
        <v>162.86930847167969</v>
      </c>
      <c r="I374" s="5" t="str">
        <f t="shared" si="18"/>
        <v>High</v>
      </c>
      <c r="J374" s="5" t="str">
        <f t="shared" si="19"/>
        <v>High</v>
      </c>
      <c r="K374" s="6">
        <f t="shared" si="20"/>
        <v>1</v>
      </c>
    </row>
    <row r="375" spans="1:11" x14ac:dyDescent="0.3">
      <c r="A375" t="s">
        <v>381</v>
      </c>
      <c r="B375">
        <v>50</v>
      </c>
      <c r="C375">
        <v>90</v>
      </c>
      <c r="D375">
        <v>140</v>
      </c>
      <c r="E375" t="s">
        <v>381</v>
      </c>
      <c r="F375">
        <v>54.89508056640625</v>
      </c>
      <c r="G375">
        <v>75.862815856933594</v>
      </c>
      <c r="H375">
        <v>130.75788879394531</v>
      </c>
      <c r="I375" s="5" t="str">
        <f t="shared" si="18"/>
        <v>High</v>
      </c>
      <c r="J375" s="5" t="str">
        <f t="shared" si="19"/>
        <v>High</v>
      </c>
      <c r="K375" s="6">
        <f t="shared" si="20"/>
        <v>1</v>
      </c>
    </row>
    <row r="376" spans="1:11" x14ac:dyDescent="0.3">
      <c r="A376" t="s">
        <v>382</v>
      </c>
      <c r="B376">
        <v>50</v>
      </c>
      <c r="C376">
        <v>90</v>
      </c>
      <c r="D376">
        <v>140</v>
      </c>
      <c r="E376" t="s">
        <v>382</v>
      </c>
      <c r="F376">
        <v>51.559383392333977</v>
      </c>
      <c r="G376">
        <v>66.656623840332031</v>
      </c>
      <c r="H376">
        <v>118.2160110473633</v>
      </c>
      <c r="I376" s="5" t="str">
        <f t="shared" si="18"/>
        <v>High</v>
      </c>
      <c r="J376" s="5" t="str">
        <f t="shared" si="19"/>
        <v>High</v>
      </c>
      <c r="K376" s="6">
        <f t="shared" si="20"/>
        <v>1</v>
      </c>
    </row>
    <row r="377" spans="1:11" x14ac:dyDescent="0.3">
      <c r="A377" t="s">
        <v>383</v>
      </c>
      <c r="B377">
        <v>90</v>
      </c>
      <c r="C377">
        <v>90</v>
      </c>
      <c r="D377">
        <v>180</v>
      </c>
      <c r="E377" t="s">
        <v>383</v>
      </c>
      <c r="F377">
        <v>54.831146240234382</v>
      </c>
      <c r="G377">
        <v>74.647026062011719</v>
      </c>
      <c r="H377">
        <v>129.47816467285159</v>
      </c>
      <c r="I377" s="5" t="str">
        <f t="shared" si="18"/>
        <v>High</v>
      </c>
      <c r="J377" s="5" t="str">
        <f t="shared" si="19"/>
        <v>High</v>
      </c>
      <c r="K377" s="6">
        <f t="shared" si="20"/>
        <v>0</v>
      </c>
    </row>
    <row r="378" spans="1:11" x14ac:dyDescent="0.3">
      <c r="A378" t="s">
        <v>384</v>
      </c>
      <c r="B378">
        <v>90</v>
      </c>
      <c r="C378">
        <v>90</v>
      </c>
      <c r="D378">
        <v>180</v>
      </c>
      <c r="E378" t="s">
        <v>384</v>
      </c>
      <c r="F378">
        <v>69.008613586425781</v>
      </c>
      <c r="G378">
        <v>85.436111450195313</v>
      </c>
      <c r="H378">
        <v>154.44471740722659</v>
      </c>
      <c r="I378" s="5" t="str">
        <f t="shared" si="18"/>
        <v>High</v>
      </c>
      <c r="J378" s="5" t="str">
        <f t="shared" si="19"/>
        <v>High</v>
      </c>
      <c r="K378" s="6">
        <f t="shared" si="20"/>
        <v>1</v>
      </c>
    </row>
    <row r="379" spans="1:11" x14ac:dyDescent="0.3">
      <c r="A379" t="s">
        <v>385</v>
      </c>
      <c r="B379">
        <v>90</v>
      </c>
      <c r="C379">
        <v>90</v>
      </c>
      <c r="D379">
        <v>180</v>
      </c>
      <c r="E379" t="s">
        <v>385</v>
      </c>
      <c r="F379">
        <v>49.062126159667969</v>
      </c>
      <c r="G379">
        <v>64.711441040039063</v>
      </c>
      <c r="H379">
        <v>113.7735595703125</v>
      </c>
      <c r="I379" s="5" t="str">
        <f t="shared" si="18"/>
        <v>High</v>
      </c>
      <c r="J379" s="5" t="str">
        <f t="shared" si="19"/>
        <v>High</v>
      </c>
      <c r="K379" s="6">
        <f t="shared" si="20"/>
        <v>0</v>
      </c>
    </row>
    <row r="380" spans="1:11" x14ac:dyDescent="0.3">
      <c r="A380" t="s">
        <v>386</v>
      </c>
      <c r="B380">
        <v>90</v>
      </c>
      <c r="C380">
        <v>90</v>
      </c>
      <c r="D380">
        <v>180</v>
      </c>
      <c r="E380" t="s">
        <v>386</v>
      </c>
      <c r="F380">
        <v>62.890762329101563</v>
      </c>
      <c r="G380">
        <v>95.696319580078125</v>
      </c>
      <c r="H380">
        <v>158.5870666503906</v>
      </c>
      <c r="I380" s="5" t="str">
        <f t="shared" si="18"/>
        <v>High</v>
      </c>
      <c r="J380" s="5" t="str">
        <f t="shared" si="19"/>
        <v>High</v>
      </c>
      <c r="K380" s="6">
        <f t="shared" si="20"/>
        <v>1</v>
      </c>
    </row>
    <row r="381" spans="1:11" x14ac:dyDescent="0.3">
      <c r="A381" t="s">
        <v>387</v>
      </c>
      <c r="B381">
        <v>90</v>
      </c>
      <c r="C381">
        <v>90</v>
      </c>
      <c r="D381">
        <v>180</v>
      </c>
      <c r="E381" t="s">
        <v>387</v>
      </c>
      <c r="F381">
        <v>57.742012023925781</v>
      </c>
      <c r="G381">
        <v>87.436882019042969</v>
      </c>
      <c r="H381">
        <v>145.17889404296881</v>
      </c>
      <c r="I381" s="5" t="str">
        <f t="shared" si="18"/>
        <v>High</v>
      </c>
      <c r="J381" s="5" t="str">
        <f t="shared" si="19"/>
        <v>High</v>
      </c>
      <c r="K381" s="6">
        <f t="shared" si="20"/>
        <v>0</v>
      </c>
    </row>
    <row r="382" spans="1:11" x14ac:dyDescent="0.3">
      <c r="A382" t="s">
        <v>388</v>
      </c>
      <c r="B382">
        <v>90</v>
      </c>
      <c r="C382">
        <v>90</v>
      </c>
      <c r="D382">
        <v>180</v>
      </c>
      <c r="E382" t="s">
        <v>388</v>
      </c>
      <c r="F382">
        <v>59.582866668701172</v>
      </c>
      <c r="G382">
        <v>82.252983093261719</v>
      </c>
      <c r="H382">
        <v>141.83586120605469</v>
      </c>
      <c r="I382" s="5" t="str">
        <f t="shared" si="18"/>
        <v>High</v>
      </c>
      <c r="J382" s="5" t="str">
        <f t="shared" si="19"/>
        <v>High</v>
      </c>
      <c r="K382" s="6">
        <f t="shared" si="20"/>
        <v>0</v>
      </c>
    </row>
    <row r="383" spans="1:11" x14ac:dyDescent="0.3">
      <c r="A383" t="s">
        <v>389</v>
      </c>
      <c r="B383">
        <v>40</v>
      </c>
      <c r="C383">
        <v>90</v>
      </c>
      <c r="D383">
        <v>130</v>
      </c>
      <c r="E383" t="s">
        <v>389</v>
      </c>
      <c r="F383">
        <v>59.403133392333977</v>
      </c>
      <c r="G383">
        <v>88.727531433105469</v>
      </c>
      <c r="H383">
        <v>148.13066101074219</v>
      </c>
      <c r="I383" s="5" t="str">
        <f t="shared" si="18"/>
        <v>High</v>
      </c>
      <c r="J383" s="5" t="str">
        <f t="shared" si="19"/>
        <v>High</v>
      </c>
      <c r="K383" s="6">
        <f t="shared" si="20"/>
        <v>1</v>
      </c>
    </row>
    <row r="384" spans="1:11" x14ac:dyDescent="0.3">
      <c r="A384" t="s">
        <v>390</v>
      </c>
      <c r="B384">
        <v>40</v>
      </c>
      <c r="C384">
        <v>90</v>
      </c>
      <c r="D384">
        <v>130</v>
      </c>
      <c r="E384" t="s">
        <v>390</v>
      </c>
      <c r="F384">
        <v>49.277347564697273</v>
      </c>
      <c r="G384">
        <v>64.424476623535156</v>
      </c>
      <c r="H384">
        <v>113.7018203735352</v>
      </c>
      <c r="I384" s="5" t="str">
        <f t="shared" si="18"/>
        <v>High</v>
      </c>
      <c r="J384" s="5" t="str">
        <f t="shared" si="19"/>
        <v>High</v>
      </c>
      <c r="K384" s="6">
        <f t="shared" si="20"/>
        <v>1</v>
      </c>
    </row>
    <row r="385" spans="1:11" x14ac:dyDescent="0.3">
      <c r="A385" t="s">
        <v>391</v>
      </c>
      <c r="B385">
        <v>40</v>
      </c>
      <c r="C385">
        <v>90</v>
      </c>
      <c r="D385">
        <v>130</v>
      </c>
      <c r="E385" t="s">
        <v>391</v>
      </c>
      <c r="F385">
        <v>57.240676879882813</v>
      </c>
      <c r="G385">
        <v>81.830894470214844</v>
      </c>
      <c r="H385">
        <v>139.07157897949219</v>
      </c>
      <c r="I385" s="5" t="str">
        <f t="shared" si="18"/>
        <v>High</v>
      </c>
      <c r="J385" s="5" t="str">
        <f t="shared" si="19"/>
        <v>High</v>
      </c>
      <c r="K385" s="6">
        <f t="shared" si="20"/>
        <v>1</v>
      </c>
    </row>
    <row r="386" spans="1:11" x14ac:dyDescent="0.3">
      <c r="A386" t="s">
        <v>392</v>
      </c>
      <c r="B386">
        <v>40</v>
      </c>
      <c r="C386">
        <v>90</v>
      </c>
      <c r="D386">
        <v>130</v>
      </c>
      <c r="E386" t="s">
        <v>392</v>
      </c>
      <c r="F386">
        <v>52.747566223144531</v>
      </c>
      <c r="G386">
        <v>66.118453979492188</v>
      </c>
      <c r="H386">
        <v>118.8660125732422</v>
      </c>
      <c r="I386" s="5" t="str">
        <f t="shared" si="18"/>
        <v>High</v>
      </c>
      <c r="J386" s="5" t="str">
        <f t="shared" si="19"/>
        <v>High</v>
      </c>
      <c r="K386" s="6">
        <f t="shared" si="20"/>
        <v>1</v>
      </c>
    </row>
    <row r="387" spans="1:11" x14ac:dyDescent="0.3">
      <c r="A387" t="s">
        <v>393</v>
      </c>
      <c r="B387">
        <v>40</v>
      </c>
      <c r="C387">
        <v>90</v>
      </c>
      <c r="D387">
        <v>130</v>
      </c>
      <c r="E387" t="s">
        <v>393</v>
      </c>
      <c r="F387">
        <v>52.612159729003913</v>
      </c>
      <c r="G387">
        <v>72.848617553710938</v>
      </c>
      <c r="H387">
        <v>125.4607772827148</v>
      </c>
      <c r="I387" s="5" t="str">
        <f t="shared" si="18"/>
        <v>High</v>
      </c>
      <c r="J387" s="5" t="str">
        <f t="shared" si="19"/>
        <v>High</v>
      </c>
      <c r="K387" s="6">
        <f t="shared" si="20"/>
        <v>1</v>
      </c>
    </row>
    <row r="388" spans="1:11" x14ac:dyDescent="0.3">
      <c r="A388" t="s">
        <v>394</v>
      </c>
      <c r="B388">
        <v>40</v>
      </c>
      <c r="C388">
        <v>90</v>
      </c>
      <c r="D388">
        <v>130</v>
      </c>
      <c r="E388" t="s">
        <v>394</v>
      </c>
      <c r="F388">
        <v>53.348731994628913</v>
      </c>
      <c r="G388">
        <v>75.707839965820313</v>
      </c>
      <c r="H388">
        <v>129.05657958984381</v>
      </c>
      <c r="I388" s="5" t="str">
        <f t="shared" si="18"/>
        <v>High</v>
      </c>
      <c r="J388" s="5" t="str">
        <f t="shared" si="19"/>
        <v>High</v>
      </c>
      <c r="K388" s="6">
        <f t="shared" si="20"/>
        <v>1</v>
      </c>
    </row>
    <row r="389" spans="1:11" x14ac:dyDescent="0.3">
      <c r="A389" t="s">
        <v>395</v>
      </c>
      <c r="B389">
        <v>90</v>
      </c>
      <c r="C389">
        <v>90</v>
      </c>
      <c r="D389">
        <v>180</v>
      </c>
      <c r="E389" t="s">
        <v>395</v>
      </c>
      <c r="F389">
        <v>55.070518493652337</v>
      </c>
      <c r="G389">
        <v>78.536544799804688</v>
      </c>
      <c r="H389">
        <v>133.60707092285159</v>
      </c>
      <c r="I389" s="5" t="str">
        <f t="shared" ref="I389:I452" si="21" xml:space="preserve"> IF(D389 &lt;= 39, "Low",
               IF(D389 &lt;= 69, "Medium", "High"))</f>
        <v>High</v>
      </c>
      <c r="J389" s="5" t="str">
        <f t="shared" ref="J389:J452" si="22" xml:space="preserve"> IF(H389 &lt;= 39, "Low",
               IF(H389 &lt;= 69, "Medium", "High"))</f>
        <v>High</v>
      </c>
      <c r="K389" s="6">
        <f t="shared" ref="K389:K452" si="23" xml:space="preserve"> IF(ABS(D389 - H389) &lt;= 30, 1, 0)</f>
        <v>0</v>
      </c>
    </row>
    <row r="390" spans="1:11" x14ac:dyDescent="0.3">
      <c r="A390" t="s">
        <v>396</v>
      </c>
      <c r="B390">
        <v>90</v>
      </c>
      <c r="C390">
        <v>90</v>
      </c>
      <c r="D390">
        <v>180</v>
      </c>
      <c r="E390" t="s">
        <v>396</v>
      </c>
      <c r="F390">
        <v>51.514930725097663</v>
      </c>
      <c r="G390">
        <v>70.074668884277344</v>
      </c>
      <c r="H390">
        <v>121.5895919799805</v>
      </c>
      <c r="I390" s="5" t="str">
        <f t="shared" si="21"/>
        <v>High</v>
      </c>
      <c r="J390" s="5" t="str">
        <f t="shared" si="22"/>
        <v>High</v>
      </c>
      <c r="K390" s="6">
        <f t="shared" si="23"/>
        <v>0</v>
      </c>
    </row>
    <row r="391" spans="1:11" x14ac:dyDescent="0.3">
      <c r="A391" t="s">
        <v>397</v>
      </c>
      <c r="B391">
        <v>90</v>
      </c>
      <c r="C391">
        <v>90</v>
      </c>
      <c r="D391">
        <v>180</v>
      </c>
      <c r="E391" t="s">
        <v>397</v>
      </c>
      <c r="F391">
        <v>53.101394653320313</v>
      </c>
      <c r="G391">
        <v>72.757789611816406</v>
      </c>
      <c r="H391">
        <v>125.85919189453119</v>
      </c>
      <c r="I391" s="5" t="str">
        <f t="shared" si="21"/>
        <v>High</v>
      </c>
      <c r="J391" s="5" t="str">
        <f t="shared" si="22"/>
        <v>High</v>
      </c>
      <c r="K391" s="6">
        <f t="shared" si="23"/>
        <v>0</v>
      </c>
    </row>
    <row r="392" spans="1:11" x14ac:dyDescent="0.3">
      <c r="A392" t="s">
        <v>398</v>
      </c>
      <c r="B392">
        <v>90</v>
      </c>
      <c r="C392">
        <v>90</v>
      </c>
      <c r="D392">
        <v>180</v>
      </c>
      <c r="E392" t="s">
        <v>398</v>
      </c>
      <c r="F392">
        <v>47.575035095214837</v>
      </c>
      <c r="G392">
        <v>68.574554443359375</v>
      </c>
      <c r="H392">
        <v>116.1495895385742</v>
      </c>
      <c r="I392" s="5" t="str">
        <f t="shared" si="21"/>
        <v>High</v>
      </c>
      <c r="J392" s="5" t="str">
        <f t="shared" si="22"/>
        <v>High</v>
      </c>
      <c r="K392" s="6">
        <f t="shared" si="23"/>
        <v>0</v>
      </c>
    </row>
    <row r="393" spans="1:11" x14ac:dyDescent="0.3">
      <c r="A393" t="s">
        <v>399</v>
      </c>
      <c r="B393">
        <v>90</v>
      </c>
      <c r="C393">
        <v>90</v>
      </c>
      <c r="D393">
        <v>180</v>
      </c>
      <c r="E393" t="s">
        <v>399</v>
      </c>
      <c r="F393">
        <v>45.78302001953125</v>
      </c>
      <c r="G393">
        <v>62.771427154541023</v>
      </c>
      <c r="H393">
        <v>108.554443359375</v>
      </c>
      <c r="I393" s="5" t="str">
        <f t="shared" si="21"/>
        <v>High</v>
      </c>
      <c r="J393" s="5" t="str">
        <f t="shared" si="22"/>
        <v>High</v>
      </c>
      <c r="K393" s="6">
        <f t="shared" si="23"/>
        <v>0</v>
      </c>
    </row>
    <row r="394" spans="1:11" x14ac:dyDescent="0.3">
      <c r="A394" t="s">
        <v>400</v>
      </c>
      <c r="B394">
        <v>90</v>
      </c>
      <c r="C394">
        <v>90</v>
      </c>
      <c r="D394">
        <v>180</v>
      </c>
      <c r="E394" t="s">
        <v>400</v>
      </c>
      <c r="F394">
        <v>55.453502655029297</v>
      </c>
      <c r="G394">
        <v>81.13043212890625</v>
      </c>
      <c r="H394">
        <v>136.58393859863281</v>
      </c>
      <c r="I394" s="5" t="str">
        <f t="shared" si="21"/>
        <v>High</v>
      </c>
      <c r="J394" s="5" t="str">
        <f t="shared" si="22"/>
        <v>High</v>
      </c>
      <c r="K394" s="6">
        <f t="shared" si="23"/>
        <v>0</v>
      </c>
    </row>
    <row r="395" spans="1:11" x14ac:dyDescent="0.3">
      <c r="A395" t="s">
        <v>401</v>
      </c>
      <c r="B395">
        <v>90</v>
      </c>
      <c r="C395">
        <v>100</v>
      </c>
      <c r="D395">
        <v>190</v>
      </c>
      <c r="E395" t="s">
        <v>401</v>
      </c>
      <c r="F395">
        <v>55.637668609619141</v>
      </c>
      <c r="G395">
        <v>86.155929565429688</v>
      </c>
      <c r="H395">
        <v>141.7936096191406</v>
      </c>
      <c r="I395" s="5" t="str">
        <f t="shared" si="21"/>
        <v>High</v>
      </c>
      <c r="J395" s="5" t="str">
        <f t="shared" si="22"/>
        <v>High</v>
      </c>
      <c r="K395" s="6">
        <f t="shared" si="23"/>
        <v>0</v>
      </c>
    </row>
    <row r="396" spans="1:11" x14ac:dyDescent="0.3">
      <c r="A396" t="s">
        <v>402</v>
      </c>
      <c r="B396">
        <v>90</v>
      </c>
      <c r="C396">
        <v>100</v>
      </c>
      <c r="D396">
        <v>190</v>
      </c>
      <c r="E396" t="s">
        <v>402</v>
      </c>
      <c r="F396">
        <v>56.226955413818359</v>
      </c>
      <c r="G396">
        <v>78.638099670410156</v>
      </c>
      <c r="H396">
        <v>134.86505126953119</v>
      </c>
      <c r="I396" s="5" t="str">
        <f t="shared" si="21"/>
        <v>High</v>
      </c>
      <c r="J396" s="5" t="str">
        <f t="shared" si="22"/>
        <v>High</v>
      </c>
      <c r="K396" s="6">
        <f t="shared" si="23"/>
        <v>0</v>
      </c>
    </row>
    <row r="397" spans="1:11" x14ac:dyDescent="0.3">
      <c r="A397" t="s">
        <v>403</v>
      </c>
      <c r="B397">
        <v>90</v>
      </c>
      <c r="C397">
        <v>100</v>
      </c>
      <c r="D397">
        <v>190</v>
      </c>
      <c r="E397" t="s">
        <v>403</v>
      </c>
      <c r="F397">
        <v>47.962673187255859</v>
      </c>
      <c r="G397">
        <v>70.106826782226563</v>
      </c>
      <c r="H397">
        <v>118.0695037841797</v>
      </c>
      <c r="I397" s="5" t="str">
        <f t="shared" si="21"/>
        <v>High</v>
      </c>
      <c r="J397" s="5" t="str">
        <f t="shared" si="22"/>
        <v>High</v>
      </c>
      <c r="K397" s="6">
        <f t="shared" si="23"/>
        <v>0</v>
      </c>
    </row>
    <row r="398" spans="1:11" x14ac:dyDescent="0.3">
      <c r="A398" t="s">
        <v>404</v>
      </c>
      <c r="B398">
        <v>90</v>
      </c>
      <c r="C398">
        <v>100</v>
      </c>
      <c r="D398">
        <v>190</v>
      </c>
      <c r="E398" t="s">
        <v>404</v>
      </c>
      <c r="F398">
        <v>63.14093017578125</v>
      </c>
      <c r="G398">
        <v>89.695053100585938</v>
      </c>
      <c r="H398">
        <v>152.83598327636719</v>
      </c>
      <c r="I398" s="5" t="str">
        <f t="shared" si="21"/>
        <v>High</v>
      </c>
      <c r="J398" s="5" t="str">
        <f t="shared" si="22"/>
        <v>High</v>
      </c>
      <c r="K398" s="6">
        <f t="shared" si="23"/>
        <v>0</v>
      </c>
    </row>
    <row r="399" spans="1:11" x14ac:dyDescent="0.3">
      <c r="A399" t="s">
        <v>405</v>
      </c>
      <c r="B399">
        <v>90</v>
      </c>
      <c r="C399">
        <v>100</v>
      </c>
      <c r="D399">
        <v>190</v>
      </c>
      <c r="E399" t="s">
        <v>405</v>
      </c>
      <c r="F399">
        <v>58.2225341796875</v>
      </c>
      <c r="G399">
        <v>81.971580505371094</v>
      </c>
      <c r="H399">
        <v>140.19410705566409</v>
      </c>
      <c r="I399" s="5" t="str">
        <f t="shared" si="21"/>
        <v>High</v>
      </c>
      <c r="J399" s="5" t="str">
        <f t="shared" si="22"/>
        <v>High</v>
      </c>
      <c r="K399" s="6">
        <f t="shared" si="23"/>
        <v>0</v>
      </c>
    </row>
    <row r="400" spans="1:11" x14ac:dyDescent="0.3">
      <c r="A400" t="s">
        <v>406</v>
      </c>
      <c r="B400">
        <v>90</v>
      </c>
      <c r="C400">
        <v>100</v>
      </c>
      <c r="D400">
        <v>190</v>
      </c>
      <c r="E400" t="s">
        <v>406</v>
      </c>
      <c r="F400">
        <v>52.42083740234375</v>
      </c>
      <c r="G400">
        <v>74.911293029785156</v>
      </c>
      <c r="H400">
        <v>127.33213806152339</v>
      </c>
      <c r="I400" s="5" t="str">
        <f t="shared" si="21"/>
        <v>High</v>
      </c>
      <c r="J400" s="5" t="str">
        <f t="shared" si="22"/>
        <v>High</v>
      </c>
      <c r="K400" s="6">
        <f t="shared" si="23"/>
        <v>0</v>
      </c>
    </row>
    <row r="401" spans="1:11" x14ac:dyDescent="0.3">
      <c r="A401" t="s">
        <v>407</v>
      </c>
      <c r="B401">
        <v>90</v>
      </c>
      <c r="C401">
        <v>90</v>
      </c>
      <c r="D401">
        <v>180</v>
      </c>
      <c r="E401" t="s">
        <v>407</v>
      </c>
      <c r="F401">
        <v>56.490337371826172</v>
      </c>
      <c r="G401">
        <v>78.304763793945313</v>
      </c>
      <c r="H401">
        <v>134.79508972167969</v>
      </c>
      <c r="I401" s="5" t="str">
        <f t="shared" si="21"/>
        <v>High</v>
      </c>
      <c r="J401" s="5" t="str">
        <f t="shared" si="22"/>
        <v>High</v>
      </c>
      <c r="K401" s="6">
        <f t="shared" si="23"/>
        <v>0</v>
      </c>
    </row>
    <row r="402" spans="1:11" x14ac:dyDescent="0.3">
      <c r="A402" t="s">
        <v>408</v>
      </c>
      <c r="B402">
        <v>90</v>
      </c>
      <c r="C402">
        <v>90</v>
      </c>
      <c r="D402">
        <v>180</v>
      </c>
      <c r="E402" t="s">
        <v>408</v>
      </c>
      <c r="F402">
        <v>58.607196807861328</v>
      </c>
      <c r="G402">
        <v>81.624649047851563</v>
      </c>
      <c r="H402">
        <v>140.2318420410156</v>
      </c>
      <c r="I402" s="5" t="str">
        <f t="shared" si="21"/>
        <v>High</v>
      </c>
      <c r="J402" s="5" t="str">
        <f t="shared" si="22"/>
        <v>High</v>
      </c>
      <c r="K402" s="6">
        <f t="shared" si="23"/>
        <v>0</v>
      </c>
    </row>
    <row r="403" spans="1:11" x14ac:dyDescent="0.3">
      <c r="A403" t="s">
        <v>409</v>
      </c>
      <c r="B403">
        <v>90</v>
      </c>
      <c r="C403">
        <v>90</v>
      </c>
      <c r="D403">
        <v>180</v>
      </c>
      <c r="E403" t="s">
        <v>409</v>
      </c>
      <c r="F403">
        <v>56.405418395996087</v>
      </c>
      <c r="G403">
        <v>80.360336303710938</v>
      </c>
      <c r="H403">
        <v>136.7657470703125</v>
      </c>
      <c r="I403" s="5" t="str">
        <f t="shared" si="21"/>
        <v>High</v>
      </c>
      <c r="J403" s="5" t="str">
        <f t="shared" si="22"/>
        <v>High</v>
      </c>
      <c r="K403" s="6">
        <f t="shared" si="23"/>
        <v>0</v>
      </c>
    </row>
    <row r="404" spans="1:11" x14ac:dyDescent="0.3">
      <c r="A404" t="s">
        <v>410</v>
      </c>
      <c r="B404">
        <v>90</v>
      </c>
      <c r="C404">
        <v>90</v>
      </c>
      <c r="D404">
        <v>180</v>
      </c>
      <c r="E404" t="s">
        <v>410</v>
      </c>
      <c r="F404">
        <v>48.663921356201172</v>
      </c>
      <c r="G404">
        <v>77.388473510742188</v>
      </c>
      <c r="H404">
        <v>126.0524063110352</v>
      </c>
      <c r="I404" s="5" t="str">
        <f t="shared" si="21"/>
        <v>High</v>
      </c>
      <c r="J404" s="5" t="str">
        <f t="shared" si="22"/>
        <v>High</v>
      </c>
      <c r="K404" s="6">
        <f t="shared" si="23"/>
        <v>0</v>
      </c>
    </row>
    <row r="405" spans="1:11" x14ac:dyDescent="0.3">
      <c r="A405" t="s">
        <v>411</v>
      </c>
      <c r="B405">
        <v>90</v>
      </c>
      <c r="C405">
        <v>90</v>
      </c>
      <c r="D405">
        <v>180</v>
      </c>
      <c r="E405" t="s">
        <v>411</v>
      </c>
      <c r="F405">
        <v>57.999275207519531</v>
      </c>
      <c r="G405">
        <v>81.054336547851563</v>
      </c>
      <c r="H405">
        <v>139.05360412597659</v>
      </c>
      <c r="I405" s="5" t="str">
        <f t="shared" si="21"/>
        <v>High</v>
      </c>
      <c r="J405" s="5" t="str">
        <f t="shared" si="22"/>
        <v>High</v>
      </c>
      <c r="K405" s="6">
        <f t="shared" si="23"/>
        <v>0</v>
      </c>
    </row>
    <row r="406" spans="1:11" x14ac:dyDescent="0.3">
      <c r="A406" t="s">
        <v>412</v>
      </c>
      <c r="B406">
        <v>90</v>
      </c>
      <c r="C406">
        <v>90</v>
      </c>
      <c r="D406">
        <v>180</v>
      </c>
      <c r="E406" t="s">
        <v>412</v>
      </c>
      <c r="F406">
        <v>56.626083374023438</v>
      </c>
      <c r="G406">
        <v>82.277801513671875</v>
      </c>
      <c r="H406">
        <v>138.90388488769531</v>
      </c>
      <c r="I406" s="5" t="str">
        <f t="shared" si="21"/>
        <v>High</v>
      </c>
      <c r="J406" s="5" t="str">
        <f t="shared" si="22"/>
        <v>High</v>
      </c>
      <c r="K406" s="6">
        <f t="shared" si="23"/>
        <v>0</v>
      </c>
    </row>
    <row r="407" spans="1:11" x14ac:dyDescent="0.3">
      <c r="A407" t="s">
        <v>413</v>
      </c>
      <c r="B407">
        <v>90</v>
      </c>
      <c r="C407">
        <v>90</v>
      </c>
      <c r="D407">
        <v>180</v>
      </c>
      <c r="E407" t="s">
        <v>413</v>
      </c>
      <c r="F407">
        <v>57.3529052734375</v>
      </c>
      <c r="G407">
        <v>81.163932800292969</v>
      </c>
      <c r="H407">
        <v>138.51683044433591</v>
      </c>
      <c r="I407" s="5" t="str">
        <f t="shared" si="21"/>
        <v>High</v>
      </c>
      <c r="J407" s="5" t="str">
        <f t="shared" si="22"/>
        <v>High</v>
      </c>
      <c r="K407" s="6">
        <f t="shared" si="23"/>
        <v>0</v>
      </c>
    </row>
    <row r="408" spans="1:11" x14ac:dyDescent="0.3">
      <c r="A408" t="s">
        <v>414</v>
      </c>
      <c r="B408">
        <v>90</v>
      </c>
      <c r="C408">
        <v>90</v>
      </c>
      <c r="D408">
        <v>180</v>
      </c>
      <c r="E408" t="s">
        <v>414</v>
      </c>
      <c r="F408">
        <v>53.986747741699219</v>
      </c>
      <c r="G408">
        <v>80.423011779785156</v>
      </c>
      <c r="H408">
        <v>134.4097595214844</v>
      </c>
      <c r="I408" s="5" t="str">
        <f t="shared" si="21"/>
        <v>High</v>
      </c>
      <c r="J408" s="5" t="str">
        <f t="shared" si="22"/>
        <v>High</v>
      </c>
      <c r="K408" s="6">
        <f t="shared" si="23"/>
        <v>0</v>
      </c>
    </row>
    <row r="409" spans="1:11" x14ac:dyDescent="0.3">
      <c r="A409" t="s">
        <v>415</v>
      </c>
      <c r="B409">
        <v>90</v>
      </c>
      <c r="C409">
        <v>90</v>
      </c>
      <c r="D409">
        <v>180</v>
      </c>
      <c r="E409" t="s">
        <v>415</v>
      </c>
      <c r="F409">
        <v>45.307220458984382</v>
      </c>
      <c r="G409">
        <v>66.605125427246094</v>
      </c>
      <c r="H409">
        <v>111.9123458862305</v>
      </c>
      <c r="I409" s="5" t="str">
        <f t="shared" si="21"/>
        <v>High</v>
      </c>
      <c r="J409" s="5" t="str">
        <f t="shared" si="22"/>
        <v>High</v>
      </c>
      <c r="K409" s="6">
        <f t="shared" si="23"/>
        <v>0</v>
      </c>
    </row>
    <row r="410" spans="1:11" x14ac:dyDescent="0.3">
      <c r="A410" t="s">
        <v>416</v>
      </c>
      <c r="B410">
        <v>90</v>
      </c>
      <c r="C410">
        <v>90</v>
      </c>
      <c r="D410">
        <v>180</v>
      </c>
      <c r="E410" t="s">
        <v>416</v>
      </c>
      <c r="F410">
        <v>45.603294372558587</v>
      </c>
      <c r="G410">
        <v>62.439250946044922</v>
      </c>
      <c r="H410">
        <v>108.0425491333008</v>
      </c>
      <c r="I410" s="5" t="str">
        <f t="shared" si="21"/>
        <v>High</v>
      </c>
      <c r="J410" s="5" t="str">
        <f t="shared" si="22"/>
        <v>High</v>
      </c>
      <c r="K410" s="6">
        <f t="shared" si="23"/>
        <v>0</v>
      </c>
    </row>
    <row r="411" spans="1:11" x14ac:dyDescent="0.3">
      <c r="A411" t="s">
        <v>417</v>
      </c>
      <c r="B411">
        <v>90</v>
      </c>
      <c r="C411">
        <v>90</v>
      </c>
      <c r="D411">
        <v>180</v>
      </c>
      <c r="E411" t="s">
        <v>417</v>
      </c>
      <c r="F411">
        <v>42.148601531982422</v>
      </c>
      <c r="G411">
        <v>63.030689239501953</v>
      </c>
      <c r="H411">
        <v>105.1792831420898</v>
      </c>
      <c r="I411" s="5" t="str">
        <f t="shared" si="21"/>
        <v>High</v>
      </c>
      <c r="J411" s="5" t="str">
        <f t="shared" si="22"/>
        <v>High</v>
      </c>
      <c r="K411" s="6">
        <f t="shared" si="23"/>
        <v>0</v>
      </c>
    </row>
    <row r="412" spans="1:11" x14ac:dyDescent="0.3">
      <c r="A412" t="s">
        <v>418</v>
      </c>
      <c r="B412">
        <v>90</v>
      </c>
      <c r="C412">
        <v>90</v>
      </c>
      <c r="D412">
        <v>180</v>
      </c>
      <c r="E412" t="s">
        <v>418</v>
      </c>
      <c r="F412">
        <v>48.87335205078125</v>
      </c>
      <c r="G412">
        <v>70.708900451660156</v>
      </c>
      <c r="H412">
        <v>119.5822448730469</v>
      </c>
      <c r="I412" s="5" t="str">
        <f t="shared" si="21"/>
        <v>High</v>
      </c>
      <c r="J412" s="5" t="str">
        <f t="shared" si="22"/>
        <v>High</v>
      </c>
      <c r="K412" s="6">
        <f t="shared" si="23"/>
        <v>0</v>
      </c>
    </row>
    <row r="413" spans="1:11" x14ac:dyDescent="0.3">
      <c r="A413" t="s">
        <v>419</v>
      </c>
      <c r="B413">
        <v>40</v>
      </c>
      <c r="C413">
        <v>80</v>
      </c>
      <c r="D413">
        <v>120.0000076293945</v>
      </c>
      <c r="E413" t="s">
        <v>419</v>
      </c>
      <c r="F413">
        <v>41.971282958984382</v>
      </c>
      <c r="G413">
        <v>68.916488647460938</v>
      </c>
      <c r="H413">
        <v>110.8877639770508</v>
      </c>
      <c r="I413" s="5" t="str">
        <f t="shared" si="21"/>
        <v>High</v>
      </c>
      <c r="J413" s="5" t="str">
        <f t="shared" si="22"/>
        <v>High</v>
      </c>
      <c r="K413" s="6">
        <f t="shared" si="23"/>
        <v>1</v>
      </c>
    </row>
    <row r="414" spans="1:11" x14ac:dyDescent="0.3">
      <c r="A414" t="s">
        <v>420</v>
      </c>
      <c r="B414">
        <v>40</v>
      </c>
      <c r="C414">
        <v>80</v>
      </c>
      <c r="D414">
        <v>120.0000076293945</v>
      </c>
      <c r="E414" t="s">
        <v>420</v>
      </c>
      <c r="F414">
        <v>44.156074523925781</v>
      </c>
      <c r="G414">
        <v>61.907981872558587</v>
      </c>
      <c r="H414">
        <v>106.0640563964844</v>
      </c>
      <c r="I414" s="5" t="str">
        <f t="shared" si="21"/>
        <v>High</v>
      </c>
      <c r="J414" s="5" t="str">
        <f t="shared" si="22"/>
        <v>High</v>
      </c>
      <c r="K414" s="6">
        <f t="shared" si="23"/>
        <v>1</v>
      </c>
    </row>
    <row r="415" spans="1:11" x14ac:dyDescent="0.3">
      <c r="A415" t="s">
        <v>421</v>
      </c>
      <c r="B415">
        <v>40</v>
      </c>
      <c r="C415">
        <v>80</v>
      </c>
      <c r="D415">
        <v>120.0000076293945</v>
      </c>
      <c r="E415" t="s">
        <v>421</v>
      </c>
      <c r="F415">
        <v>45.777847290039063</v>
      </c>
      <c r="G415">
        <v>63.411945343017578</v>
      </c>
      <c r="H415">
        <v>109.18979644775391</v>
      </c>
      <c r="I415" s="5" t="str">
        <f t="shared" si="21"/>
        <v>High</v>
      </c>
      <c r="J415" s="5" t="str">
        <f t="shared" si="22"/>
        <v>High</v>
      </c>
      <c r="K415" s="6">
        <f t="shared" si="23"/>
        <v>1</v>
      </c>
    </row>
    <row r="416" spans="1:11" x14ac:dyDescent="0.3">
      <c r="A416" t="s">
        <v>422</v>
      </c>
      <c r="B416">
        <v>40</v>
      </c>
      <c r="C416">
        <v>80</v>
      </c>
      <c r="D416">
        <v>120.0000076293945</v>
      </c>
      <c r="E416" t="s">
        <v>422</v>
      </c>
      <c r="F416">
        <v>54.745777130126953</v>
      </c>
      <c r="G416">
        <v>82.522201538085938</v>
      </c>
      <c r="H416">
        <v>137.2679748535156</v>
      </c>
      <c r="I416" s="5" t="str">
        <f t="shared" si="21"/>
        <v>High</v>
      </c>
      <c r="J416" s="5" t="str">
        <f t="shared" si="22"/>
        <v>High</v>
      </c>
      <c r="K416" s="6">
        <f t="shared" si="23"/>
        <v>1</v>
      </c>
    </row>
    <row r="417" spans="1:11" x14ac:dyDescent="0.3">
      <c r="A417" t="s">
        <v>423</v>
      </c>
      <c r="B417">
        <v>40</v>
      </c>
      <c r="C417">
        <v>80</v>
      </c>
      <c r="D417">
        <v>120.0000076293945</v>
      </c>
      <c r="E417" t="s">
        <v>423</v>
      </c>
      <c r="F417">
        <v>38.155147552490227</v>
      </c>
      <c r="G417">
        <v>58.724945068359382</v>
      </c>
      <c r="H417">
        <v>96.880088806152344</v>
      </c>
      <c r="I417" s="5" t="str">
        <f t="shared" si="21"/>
        <v>High</v>
      </c>
      <c r="J417" s="5" t="str">
        <f t="shared" si="22"/>
        <v>High</v>
      </c>
      <c r="K417" s="6">
        <f t="shared" si="23"/>
        <v>1</v>
      </c>
    </row>
    <row r="418" spans="1:11" x14ac:dyDescent="0.3">
      <c r="A418" t="s">
        <v>424</v>
      </c>
      <c r="B418">
        <v>40</v>
      </c>
      <c r="C418">
        <v>80</v>
      </c>
      <c r="D418">
        <v>120.0000076293945</v>
      </c>
      <c r="E418" t="s">
        <v>424</v>
      </c>
      <c r="F418">
        <v>44.654266357421882</v>
      </c>
      <c r="G418">
        <v>67.877769470214844</v>
      </c>
      <c r="H418">
        <v>112.53204345703119</v>
      </c>
      <c r="I418" s="5" t="str">
        <f t="shared" si="21"/>
        <v>High</v>
      </c>
      <c r="J418" s="5" t="str">
        <f t="shared" si="22"/>
        <v>High</v>
      </c>
      <c r="K418" s="6">
        <f t="shared" si="23"/>
        <v>1</v>
      </c>
    </row>
    <row r="419" spans="1:11" x14ac:dyDescent="0.3">
      <c r="A419" t="s">
        <v>425</v>
      </c>
      <c r="B419">
        <v>50</v>
      </c>
      <c r="C419">
        <v>90</v>
      </c>
      <c r="D419">
        <v>140</v>
      </c>
      <c r="E419" t="s">
        <v>425</v>
      </c>
      <c r="F419">
        <v>48.726184844970703</v>
      </c>
      <c r="G419">
        <v>67.979156494140625</v>
      </c>
      <c r="H419">
        <v>116.70534515380859</v>
      </c>
      <c r="I419" s="5" t="str">
        <f t="shared" si="21"/>
        <v>High</v>
      </c>
      <c r="J419" s="5" t="str">
        <f t="shared" si="22"/>
        <v>High</v>
      </c>
      <c r="K419" s="6">
        <f t="shared" si="23"/>
        <v>1</v>
      </c>
    </row>
    <row r="420" spans="1:11" x14ac:dyDescent="0.3">
      <c r="A420" t="s">
        <v>426</v>
      </c>
      <c r="B420">
        <v>50</v>
      </c>
      <c r="C420">
        <v>90</v>
      </c>
      <c r="D420">
        <v>140</v>
      </c>
      <c r="E420" t="s">
        <v>426</v>
      </c>
      <c r="F420">
        <v>46.137237548828118</v>
      </c>
      <c r="G420">
        <v>63.837635040283203</v>
      </c>
      <c r="H420">
        <v>109.97487640380859</v>
      </c>
      <c r="I420" s="5" t="str">
        <f t="shared" si="21"/>
        <v>High</v>
      </c>
      <c r="J420" s="5" t="str">
        <f t="shared" si="22"/>
        <v>High</v>
      </c>
      <c r="K420" s="6">
        <f t="shared" si="23"/>
        <v>0</v>
      </c>
    </row>
    <row r="421" spans="1:11" x14ac:dyDescent="0.3">
      <c r="A421" t="s">
        <v>427</v>
      </c>
      <c r="B421">
        <v>50</v>
      </c>
      <c r="C421">
        <v>90</v>
      </c>
      <c r="D421">
        <v>140</v>
      </c>
      <c r="E421" t="s">
        <v>427</v>
      </c>
      <c r="F421">
        <v>44.367443084716797</v>
      </c>
      <c r="G421">
        <v>61.911540985107422</v>
      </c>
      <c r="H421">
        <v>106.27899169921881</v>
      </c>
      <c r="I421" s="5" t="str">
        <f t="shared" si="21"/>
        <v>High</v>
      </c>
      <c r="J421" s="5" t="str">
        <f t="shared" si="22"/>
        <v>High</v>
      </c>
      <c r="K421" s="6">
        <f t="shared" si="23"/>
        <v>0</v>
      </c>
    </row>
    <row r="422" spans="1:11" x14ac:dyDescent="0.3">
      <c r="A422" t="s">
        <v>428</v>
      </c>
      <c r="B422">
        <v>50</v>
      </c>
      <c r="C422">
        <v>90</v>
      </c>
      <c r="D422">
        <v>140</v>
      </c>
      <c r="E422" t="s">
        <v>428</v>
      </c>
      <c r="F422">
        <v>64.226875305175781</v>
      </c>
      <c r="G422">
        <v>93.461868286132813</v>
      </c>
      <c r="H422">
        <v>157.68873596191409</v>
      </c>
      <c r="I422" s="5" t="str">
        <f t="shared" si="21"/>
        <v>High</v>
      </c>
      <c r="J422" s="5" t="str">
        <f t="shared" si="22"/>
        <v>High</v>
      </c>
      <c r="K422" s="6">
        <f t="shared" si="23"/>
        <v>1</v>
      </c>
    </row>
    <row r="423" spans="1:11" x14ac:dyDescent="0.3">
      <c r="A423" t="s">
        <v>429</v>
      </c>
      <c r="B423">
        <v>50</v>
      </c>
      <c r="C423">
        <v>90</v>
      </c>
      <c r="D423">
        <v>140</v>
      </c>
      <c r="E423" t="s">
        <v>429</v>
      </c>
      <c r="F423">
        <v>56.40155029296875</v>
      </c>
      <c r="G423">
        <v>77.353797912597656</v>
      </c>
      <c r="H423">
        <v>133.75535583496091</v>
      </c>
      <c r="I423" s="5" t="str">
        <f t="shared" si="21"/>
        <v>High</v>
      </c>
      <c r="J423" s="5" t="str">
        <f t="shared" si="22"/>
        <v>High</v>
      </c>
      <c r="K423" s="6">
        <f t="shared" si="23"/>
        <v>1</v>
      </c>
    </row>
    <row r="424" spans="1:11" x14ac:dyDescent="0.3">
      <c r="A424" t="s">
        <v>430</v>
      </c>
      <c r="B424">
        <v>50</v>
      </c>
      <c r="C424">
        <v>90</v>
      </c>
      <c r="D424">
        <v>140</v>
      </c>
      <c r="E424" t="s">
        <v>430</v>
      </c>
      <c r="F424">
        <v>54.982437133789063</v>
      </c>
      <c r="G424">
        <v>79.637565612792969</v>
      </c>
      <c r="H424">
        <v>134.6199951171875</v>
      </c>
      <c r="I424" s="5" t="str">
        <f t="shared" si="21"/>
        <v>High</v>
      </c>
      <c r="J424" s="5" t="str">
        <f t="shared" si="22"/>
        <v>High</v>
      </c>
      <c r="K424" s="6">
        <f t="shared" si="23"/>
        <v>1</v>
      </c>
    </row>
    <row r="425" spans="1:11" x14ac:dyDescent="0.3">
      <c r="A425" t="s">
        <v>431</v>
      </c>
      <c r="B425">
        <v>60.000003814697273</v>
      </c>
      <c r="C425">
        <v>90</v>
      </c>
      <c r="D425">
        <v>150</v>
      </c>
      <c r="E425" t="s">
        <v>431</v>
      </c>
      <c r="F425">
        <v>64.843215942382813</v>
      </c>
      <c r="G425">
        <v>89.530311584472656</v>
      </c>
      <c r="H425">
        <v>154.37351989746091</v>
      </c>
      <c r="I425" s="5" t="str">
        <f t="shared" si="21"/>
        <v>High</v>
      </c>
      <c r="J425" s="5" t="str">
        <f t="shared" si="22"/>
        <v>High</v>
      </c>
      <c r="K425" s="6">
        <f t="shared" si="23"/>
        <v>1</v>
      </c>
    </row>
    <row r="426" spans="1:11" x14ac:dyDescent="0.3">
      <c r="A426" t="s">
        <v>432</v>
      </c>
      <c r="B426">
        <v>60.000003814697273</v>
      </c>
      <c r="C426">
        <v>90</v>
      </c>
      <c r="D426">
        <v>150</v>
      </c>
      <c r="E426" t="s">
        <v>432</v>
      </c>
      <c r="F426">
        <v>55.779560089111328</v>
      </c>
      <c r="G426">
        <v>85.099693298339844</v>
      </c>
      <c r="H426">
        <v>140.8792419433594</v>
      </c>
      <c r="I426" s="5" t="str">
        <f t="shared" si="21"/>
        <v>High</v>
      </c>
      <c r="J426" s="5" t="str">
        <f t="shared" si="22"/>
        <v>High</v>
      </c>
      <c r="K426" s="6">
        <f t="shared" si="23"/>
        <v>1</v>
      </c>
    </row>
    <row r="427" spans="1:11" x14ac:dyDescent="0.3">
      <c r="A427" t="s">
        <v>433</v>
      </c>
      <c r="B427">
        <v>60.000003814697273</v>
      </c>
      <c r="C427">
        <v>90</v>
      </c>
      <c r="D427">
        <v>150</v>
      </c>
      <c r="E427" t="s">
        <v>433</v>
      </c>
      <c r="F427">
        <v>66.403839111328125</v>
      </c>
      <c r="G427">
        <v>92.903312683105469</v>
      </c>
      <c r="H427">
        <v>159.3071594238281</v>
      </c>
      <c r="I427" s="5" t="str">
        <f t="shared" si="21"/>
        <v>High</v>
      </c>
      <c r="J427" s="5" t="str">
        <f t="shared" si="22"/>
        <v>High</v>
      </c>
      <c r="K427" s="6">
        <f t="shared" si="23"/>
        <v>1</v>
      </c>
    </row>
    <row r="428" spans="1:11" x14ac:dyDescent="0.3">
      <c r="A428" t="s">
        <v>434</v>
      </c>
      <c r="B428">
        <v>60.000003814697273</v>
      </c>
      <c r="C428">
        <v>90</v>
      </c>
      <c r="D428">
        <v>150</v>
      </c>
      <c r="E428" t="s">
        <v>434</v>
      </c>
      <c r="F428">
        <v>64.038978576660156</v>
      </c>
      <c r="G428">
        <v>91.466026306152344</v>
      </c>
      <c r="H428">
        <v>155.50502014160159</v>
      </c>
      <c r="I428" s="5" t="str">
        <f t="shared" si="21"/>
        <v>High</v>
      </c>
      <c r="J428" s="5" t="str">
        <f t="shared" si="22"/>
        <v>High</v>
      </c>
      <c r="K428" s="6">
        <f t="shared" si="23"/>
        <v>1</v>
      </c>
    </row>
    <row r="429" spans="1:11" x14ac:dyDescent="0.3">
      <c r="A429" t="s">
        <v>435</v>
      </c>
      <c r="B429">
        <v>60.000003814697273</v>
      </c>
      <c r="C429">
        <v>90</v>
      </c>
      <c r="D429">
        <v>150</v>
      </c>
      <c r="E429" t="s">
        <v>435</v>
      </c>
      <c r="F429">
        <v>61.395942687988281</v>
      </c>
      <c r="G429">
        <v>91.355072021484375</v>
      </c>
      <c r="H429">
        <v>152.75102233886719</v>
      </c>
      <c r="I429" s="5" t="str">
        <f t="shared" si="21"/>
        <v>High</v>
      </c>
      <c r="J429" s="5" t="str">
        <f t="shared" si="22"/>
        <v>High</v>
      </c>
      <c r="K429" s="6">
        <f t="shared" si="23"/>
        <v>1</v>
      </c>
    </row>
    <row r="430" spans="1:11" x14ac:dyDescent="0.3">
      <c r="A430" t="s">
        <v>436</v>
      </c>
      <c r="B430">
        <v>60.000003814697273</v>
      </c>
      <c r="C430">
        <v>90</v>
      </c>
      <c r="D430">
        <v>150</v>
      </c>
      <c r="E430" t="s">
        <v>436</v>
      </c>
      <c r="F430">
        <v>57.805568695068359</v>
      </c>
      <c r="G430">
        <v>86.591873168945313</v>
      </c>
      <c r="H430">
        <v>144.39744567871091</v>
      </c>
      <c r="I430" s="5" t="str">
        <f t="shared" si="21"/>
        <v>High</v>
      </c>
      <c r="J430" s="5" t="str">
        <f t="shared" si="22"/>
        <v>High</v>
      </c>
      <c r="K430" s="6">
        <f t="shared" si="23"/>
        <v>1</v>
      </c>
    </row>
    <row r="431" spans="1:11" x14ac:dyDescent="0.3">
      <c r="A431" t="s">
        <v>437</v>
      </c>
      <c r="B431">
        <v>40</v>
      </c>
      <c r="C431">
        <v>90</v>
      </c>
      <c r="D431">
        <v>130</v>
      </c>
      <c r="E431" t="s">
        <v>437</v>
      </c>
      <c r="F431">
        <v>53.537654876708977</v>
      </c>
      <c r="G431">
        <v>78.04168701171875</v>
      </c>
      <c r="H431">
        <v>131.579345703125</v>
      </c>
      <c r="I431" s="5" t="str">
        <f t="shared" si="21"/>
        <v>High</v>
      </c>
      <c r="J431" s="5" t="str">
        <f t="shared" si="22"/>
        <v>High</v>
      </c>
      <c r="K431" s="6">
        <f t="shared" si="23"/>
        <v>1</v>
      </c>
    </row>
    <row r="432" spans="1:11" x14ac:dyDescent="0.3">
      <c r="A432" t="s">
        <v>438</v>
      </c>
      <c r="B432">
        <v>40</v>
      </c>
      <c r="C432">
        <v>90</v>
      </c>
      <c r="D432">
        <v>130</v>
      </c>
      <c r="E432" t="s">
        <v>438</v>
      </c>
      <c r="F432">
        <v>57.882152557373047</v>
      </c>
      <c r="G432">
        <v>74.514930725097656</v>
      </c>
      <c r="H432">
        <v>132.39707946777341</v>
      </c>
      <c r="I432" s="5" t="str">
        <f t="shared" si="21"/>
        <v>High</v>
      </c>
      <c r="J432" s="5" t="str">
        <f t="shared" si="22"/>
        <v>High</v>
      </c>
      <c r="K432" s="6">
        <f t="shared" si="23"/>
        <v>1</v>
      </c>
    </row>
    <row r="433" spans="1:11" x14ac:dyDescent="0.3">
      <c r="A433" t="s">
        <v>439</v>
      </c>
      <c r="B433">
        <v>40</v>
      </c>
      <c r="C433">
        <v>90</v>
      </c>
      <c r="D433">
        <v>130</v>
      </c>
      <c r="E433" t="s">
        <v>439</v>
      </c>
      <c r="F433">
        <v>58.249114990234382</v>
      </c>
      <c r="G433">
        <v>84.270011901855469</v>
      </c>
      <c r="H433">
        <v>142.5191345214844</v>
      </c>
      <c r="I433" s="5" t="str">
        <f t="shared" si="21"/>
        <v>High</v>
      </c>
      <c r="J433" s="5" t="str">
        <f t="shared" si="22"/>
        <v>High</v>
      </c>
      <c r="K433" s="6">
        <f t="shared" si="23"/>
        <v>1</v>
      </c>
    </row>
    <row r="434" spans="1:11" x14ac:dyDescent="0.3">
      <c r="A434" t="s">
        <v>440</v>
      </c>
      <c r="B434">
        <v>40</v>
      </c>
      <c r="C434">
        <v>90</v>
      </c>
      <c r="D434">
        <v>130</v>
      </c>
      <c r="E434" t="s">
        <v>440</v>
      </c>
      <c r="F434">
        <v>62.969676971435547</v>
      </c>
      <c r="G434">
        <v>88.932670593261719</v>
      </c>
      <c r="H434">
        <v>151.90234375</v>
      </c>
      <c r="I434" s="5" t="str">
        <f t="shared" si="21"/>
        <v>High</v>
      </c>
      <c r="J434" s="5" t="str">
        <f t="shared" si="22"/>
        <v>High</v>
      </c>
      <c r="K434" s="6">
        <f t="shared" si="23"/>
        <v>1</v>
      </c>
    </row>
    <row r="435" spans="1:11" x14ac:dyDescent="0.3">
      <c r="A435" t="s">
        <v>441</v>
      </c>
      <c r="B435">
        <v>40</v>
      </c>
      <c r="C435">
        <v>90</v>
      </c>
      <c r="D435">
        <v>130</v>
      </c>
      <c r="E435" t="s">
        <v>441</v>
      </c>
      <c r="F435">
        <v>62.700336456298828</v>
      </c>
      <c r="G435">
        <v>88.891777038574219</v>
      </c>
      <c r="H435">
        <v>151.59211730957031</v>
      </c>
      <c r="I435" s="5" t="str">
        <f t="shared" si="21"/>
        <v>High</v>
      </c>
      <c r="J435" s="5" t="str">
        <f t="shared" si="22"/>
        <v>High</v>
      </c>
      <c r="K435" s="6">
        <f t="shared" si="23"/>
        <v>1</v>
      </c>
    </row>
    <row r="436" spans="1:11" x14ac:dyDescent="0.3">
      <c r="A436" t="s">
        <v>442</v>
      </c>
      <c r="B436">
        <v>40</v>
      </c>
      <c r="C436">
        <v>90</v>
      </c>
      <c r="D436">
        <v>130</v>
      </c>
      <c r="E436" t="s">
        <v>442</v>
      </c>
      <c r="F436">
        <v>61.240459442138672</v>
      </c>
      <c r="G436">
        <v>88.08013916015625</v>
      </c>
      <c r="H436">
        <v>149.32060241699219</v>
      </c>
      <c r="I436" s="5" t="str">
        <f t="shared" si="21"/>
        <v>High</v>
      </c>
      <c r="J436" s="5" t="str">
        <f t="shared" si="22"/>
        <v>High</v>
      </c>
      <c r="K436" s="6">
        <f t="shared" si="23"/>
        <v>1</v>
      </c>
    </row>
    <row r="437" spans="1:11" x14ac:dyDescent="0.3">
      <c r="A437" t="s">
        <v>443</v>
      </c>
      <c r="B437">
        <v>90</v>
      </c>
      <c r="C437">
        <v>90</v>
      </c>
      <c r="D437">
        <v>180</v>
      </c>
      <c r="E437" t="s">
        <v>443</v>
      </c>
      <c r="F437">
        <v>62.466285705566413</v>
      </c>
      <c r="G437">
        <v>91.07208251953125</v>
      </c>
      <c r="H437">
        <v>153.53837585449219</v>
      </c>
      <c r="I437" s="5" t="str">
        <f t="shared" si="21"/>
        <v>High</v>
      </c>
      <c r="J437" s="5" t="str">
        <f t="shared" si="22"/>
        <v>High</v>
      </c>
      <c r="K437" s="6">
        <f t="shared" si="23"/>
        <v>1</v>
      </c>
    </row>
    <row r="438" spans="1:11" x14ac:dyDescent="0.3">
      <c r="A438" t="s">
        <v>444</v>
      </c>
      <c r="B438">
        <v>90</v>
      </c>
      <c r="C438">
        <v>90</v>
      </c>
      <c r="D438">
        <v>180</v>
      </c>
      <c r="E438" t="s">
        <v>444</v>
      </c>
      <c r="F438">
        <v>55.540084838867188</v>
      </c>
      <c r="G438">
        <v>76.418388366699219</v>
      </c>
      <c r="H438">
        <v>131.9584655761719</v>
      </c>
      <c r="I438" s="5" t="str">
        <f t="shared" si="21"/>
        <v>High</v>
      </c>
      <c r="J438" s="5" t="str">
        <f t="shared" si="22"/>
        <v>High</v>
      </c>
      <c r="K438" s="6">
        <f t="shared" si="23"/>
        <v>0</v>
      </c>
    </row>
    <row r="439" spans="1:11" x14ac:dyDescent="0.3">
      <c r="A439" t="s">
        <v>445</v>
      </c>
      <c r="B439">
        <v>90</v>
      </c>
      <c r="C439">
        <v>90</v>
      </c>
      <c r="D439">
        <v>180</v>
      </c>
      <c r="E439" t="s">
        <v>445</v>
      </c>
      <c r="F439">
        <v>60.256683349609382</v>
      </c>
      <c r="G439">
        <v>84.353050231933594</v>
      </c>
      <c r="H439">
        <v>144.6097412109375</v>
      </c>
      <c r="I439" s="5" t="str">
        <f t="shared" si="21"/>
        <v>High</v>
      </c>
      <c r="J439" s="5" t="str">
        <f t="shared" si="22"/>
        <v>High</v>
      </c>
      <c r="K439" s="6">
        <f t="shared" si="23"/>
        <v>0</v>
      </c>
    </row>
    <row r="440" spans="1:11" x14ac:dyDescent="0.3">
      <c r="A440" t="s">
        <v>446</v>
      </c>
      <c r="B440">
        <v>90</v>
      </c>
      <c r="C440">
        <v>90</v>
      </c>
      <c r="D440">
        <v>180</v>
      </c>
      <c r="E440" t="s">
        <v>446</v>
      </c>
      <c r="F440">
        <v>41.492397308349609</v>
      </c>
      <c r="G440">
        <v>68.193687438964844</v>
      </c>
      <c r="H440">
        <v>109.6860885620117</v>
      </c>
      <c r="I440" s="5" t="str">
        <f t="shared" si="21"/>
        <v>High</v>
      </c>
      <c r="J440" s="5" t="str">
        <f t="shared" si="22"/>
        <v>High</v>
      </c>
      <c r="K440" s="6">
        <f t="shared" si="23"/>
        <v>0</v>
      </c>
    </row>
    <row r="441" spans="1:11" x14ac:dyDescent="0.3">
      <c r="A441" t="s">
        <v>447</v>
      </c>
      <c r="B441">
        <v>90</v>
      </c>
      <c r="C441">
        <v>90</v>
      </c>
      <c r="D441">
        <v>180</v>
      </c>
      <c r="E441" t="s">
        <v>447</v>
      </c>
      <c r="F441">
        <v>34.876205444335938</v>
      </c>
      <c r="G441">
        <v>54.509037017822273</v>
      </c>
      <c r="H441">
        <v>89.385246276855469</v>
      </c>
      <c r="I441" s="5" t="str">
        <f t="shared" si="21"/>
        <v>High</v>
      </c>
      <c r="J441" s="5" t="str">
        <f t="shared" si="22"/>
        <v>High</v>
      </c>
      <c r="K441" s="6">
        <f t="shared" si="23"/>
        <v>0</v>
      </c>
    </row>
    <row r="442" spans="1:11" x14ac:dyDescent="0.3">
      <c r="A442" t="s">
        <v>448</v>
      </c>
      <c r="B442">
        <v>90</v>
      </c>
      <c r="C442">
        <v>90</v>
      </c>
      <c r="D442">
        <v>180</v>
      </c>
      <c r="E442" t="s">
        <v>448</v>
      </c>
      <c r="F442">
        <v>40.149234771728523</v>
      </c>
      <c r="G442">
        <v>63.665557861328118</v>
      </c>
      <c r="H442">
        <v>103.8147888183594</v>
      </c>
      <c r="I442" s="5" t="str">
        <f t="shared" si="21"/>
        <v>High</v>
      </c>
      <c r="J442" s="5" t="str">
        <f t="shared" si="22"/>
        <v>High</v>
      </c>
      <c r="K442" s="6">
        <f t="shared" si="23"/>
        <v>0</v>
      </c>
    </row>
    <row r="443" spans="1:11" x14ac:dyDescent="0.3">
      <c r="A443" t="s">
        <v>449</v>
      </c>
      <c r="B443">
        <v>40</v>
      </c>
      <c r="C443">
        <v>90</v>
      </c>
      <c r="D443">
        <v>130</v>
      </c>
      <c r="E443" t="s">
        <v>449</v>
      </c>
      <c r="F443">
        <v>45.542427062988281</v>
      </c>
      <c r="G443">
        <v>71.951034545898438</v>
      </c>
      <c r="H443">
        <v>117.4934616088867</v>
      </c>
      <c r="I443" s="5" t="str">
        <f t="shared" si="21"/>
        <v>High</v>
      </c>
      <c r="J443" s="5" t="str">
        <f t="shared" si="22"/>
        <v>High</v>
      </c>
      <c r="K443" s="6">
        <f t="shared" si="23"/>
        <v>1</v>
      </c>
    </row>
    <row r="444" spans="1:11" x14ac:dyDescent="0.3">
      <c r="A444" t="s">
        <v>450</v>
      </c>
      <c r="B444">
        <v>40</v>
      </c>
      <c r="C444">
        <v>90</v>
      </c>
      <c r="D444">
        <v>130</v>
      </c>
      <c r="E444" t="s">
        <v>450</v>
      </c>
      <c r="F444">
        <v>36.739105224609382</v>
      </c>
      <c r="G444">
        <v>59.062492370605469</v>
      </c>
      <c r="H444">
        <v>95.801597595214844</v>
      </c>
      <c r="I444" s="5" t="str">
        <f t="shared" si="21"/>
        <v>High</v>
      </c>
      <c r="J444" s="5" t="str">
        <f t="shared" si="22"/>
        <v>High</v>
      </c>
      <c r="K444" s="6">
        <f t="shared" si="23"/>
        <v>0</v>
      </c>
    </row>
    <row r="445" spans="1:11" x14ac:dyDescent="0.3">
      <c r="A445" t="s">
        <v>451</v>
      </c>
      <c r="B445">
        <v>40</v>
      </c>
      <c r="C445">
        <v>90</v>
      </c>
      <c r="D445">
        <v>130</v>
      </c>
      <c r="E445" t="s">
        <v>451</v>
      </c>
      <c r="F445">
        <v>43.12139892578125</v>
      </c>
      <c r="G445">
        <v>68.118331909179688</v>
      </c>
      <c r="H445">
        <v>111.23973083496089</v>
      </c>
      <c r="I445" s="5" t="str">
        <f t="shared" si="21"/>
        <v>High</v>
      </c>
      <c r="J445" s="5" t="str">
        <f t="shared" si="22"/>
        <v>High</v>
      </c>
      <c r="K445" s="6">
        <f t="shared" si="23"/>
        <v>1</v>
      </c>
    </row>
    <row r="446" spans="1:11" x14ac:dyDescent="0.3">
      <c r="A446" t="s">
        <v>452</v>
      </c>
      <c r="B446">
        <v>40</v>
      </c>
      <c r="C446">
        <v>90</v>
      </c>
      <c r="D446">
        <v>130</v>
      </c>
      <c r="E446" t="s">
        <v>452</v>
      </c>
      <c r="F446">
        <v>46.533218383789063</v>
      </c>
      <c r="G446">
        <v>66.125480651855469</v>
      </c>
      <c r="H446">
        <v>112.65870666503911</v>
      </c>
      <c r="I446" s="5" t="str">
        <f t="shared" si="21"/>
        <v>High</v>
      </c>
      <c r="J446" s="5" t="str">
        <f t="shared" si="22"/>
        <v>High</v>
      </c>
      <c r="K446" s="6">
        <f t="shared" si="23"/>
        <v>1</v>
      </c>
    </row>
    <row r="447" spans="1:11" x14ac:dyDescent="0.3">
      <c r="A447" t="s">
        <v>453</v>
      </c>
      <c r="B447">
        <v>40</v>
      </c>
      <c r="C447">
        <v>90</v>
      </c>
      <c r="D447">
        <v>130</v>
      </c>
      <c r="E447" t="s">
        <v>453</v>
      </c>
      <c r="F447">
        <v>37.228263854980469</v>
      </c>
      <c r="G447">
        <v>108.6318740844727</v>
      </c>
      <c r="H447">
        <v>145.8601379394531</v>
      </c>
      <c r="I447" s="5" t="str">
        <f t="shared" si="21"/>
        <v>High</v>
      </c>
      <c r="J447" s="5" t="str">
        <f t="shared" si="22"/>
        <v>High</v>
      </c>
      <c r="K447" s="6">
        <f t="shared" si="23"/>
        <v>1</v>
      </c>
    </row>
    <row r="448" spans="1:11" x14ac:dyDescent="0.3">
      <c r="A448" t="s">
        <v>454</v>
      </c>
      <c r="B448">
        <v>40</v>
      </c>
      <c r="C448">
        <v>90</v>
      </c>
      <c r="D448">
        <v>130</v>
      </c>
      <c r="E448" t="s">
        <v>454</v>
      </c>
      <c r="F448">
        <v>43.594627380371087</v>
      </c>
      <c r="G448">
        <v>61.894027709960938</v>
      </c>
      <c r="H448">
        <v>105.488655090332</v>
      </c>
      <c r="I448" s="5" t="str">
        <f t="shared" si="21"/>
        <v>High</v>
      </c>
      <c r="J448" s="5" t="str">
        <f t="shared" si="22"/>
        <v>High</v>
      </c>
      <c r="K448" s="6">
        <f t="shared" si="23"/>
        <v>1</v>
      </c>
    </row>
    <row r="449" spans="1:11" x14ac:dyDescent="0.3">
      <c r="A449" t="s">
        <v>455</v>
      </c>
      <c r="B449">
        <v>40</v>
      </c>
      <c r="C449">
        <v>90</v>
      </c>
      <c r="D449">
        <v>130</v>
      </c>
      <c r="E449" t="s">
        <v>455</v>
      </c>
      <c r="F449">
        <v>42.433738708496087</v>
      </c>
      <c r="G449">
        <v>56.163318634033203</v>
      </c>
      <c r="H449">
        <v>98.597053527832031</v>
      </c>
      <c r="I449" s="5" t="str">
        <f t="shared" si="21"/>
        <v>High</v>
      </c>
      <c r="J449" s="5" t="str">
        <f t="shared" si="22"/>
        <v>High</v>
      </c>
      <c r="K449" s="6">
        <f t="shared" si="23"/>
        <v>0</v>
      </c>
    </row>
    <row r="450" spans="1:11" x14ac:dyDescent="0.3">
      <c r="A450" t="s">
        <v>456</v>
      </c>
      <c r="B450">
        <v>40</v>
      </c>
      <c r="C450">
        <v>90</v>
      </c>
      <c r="D450">
        <v>130</v>
      </c>
      <c r="E450" t="s">
        <v>456</v>
      </c>
      <c r="F450">
        <v>32.522617340087891</v>
      </c>
      <c r="G450">
        <v>52.324859619140618</v>
      </c>
      <c r="H450">
        <v>84.847480773925781</v>
      </c>
      <c r="I450" s="5" t="str">
        <f t="shared" si="21"/>
        <v>High</v>
      </c>
      <c r="J450" s="5" t="str">
        <f t="shared" si="22"/>
        <v>High</v>
      </c>
      <c r="K450" s="6">
        <f t="shared" si="23"/>
        <v>0</v>
      </c>
    </row>
    <row r="451" spans="1:11" x14ac:dyDescent="0.3">
      <c r="A451" t="s">
        <v>457</v>
      </c>
      <c r="B451">
        <v>40</v>
      </c>
      <c r="C451">
        <v>90</v>
      </c>
      <c r="D451">
        <v>130</v>
      </c>
      <c r="E451" t="s">
        <v>457</v>
      </c>
      <c r="F451">
        <v>40.600456237792969</v>
      </c>
      <c r="G451">
        <v>148.4117431640625</v>
      </c>
      <c r="H451">
        <v>189.01220703125</v>
      </c>
      <c r="I451" s="5" t="str">
        <f t="shared" si="21"/>
        <v>High</v>
      </c>
      <c r="J451" s="5" t="str">
        <f t="shared" si="22"/>
        <v>High</v>
      </c>
      <c r="K451" s="6">
        <f t="shared" si="23"/>
        <v>0</v>
      </c>
    </row>
    <row r="452" spans="1:11" x14ac:dyDescent="0.3">
      <c r="A452" t="s">
        <v>458</v>
      </c>
      <c r="B452">
        <v>40</v>
      </c>
      <c r="C452">
        <v>90</v>
      </c>
      <c r="D452">
        <v>130</v>
      </c>
      <c r="E452" t="s">
        <v>458</v>
      </c>
      <c r="F452">
        <v>43.205562591552727</v>
      </c>
      <c r="G452">
        <v>58.670024871826172</v>
      </c>
      <c r="H452">
        <v>101.87559509277339</v>
      </c>
      <c r="I452" s="5" t="str">
        <f t="shared" si="21"/>
        <v>High</v>
      </c>
      <c r="J452" s="5" t="str">
        <f t="shared" si="22"/>
        <v>High</v>
      </c>
      <c r="K452" s="6">
        <f t="shared" si="23"/>
        <v>1</v>
      </c>
    </row>
    <row r="453" spans="1:11" x14ac:dyDescent="0.3">
      <c r="A453" t="s">
        <v>459</v>
      </c>
      <c r="B453">
        <v>40</v>
      </c>
      <c r="C453">
        <v>90</v>
      </c>
      <c r="D453">
        <v>130</v>
      </c>
      <c r="E453" t="s">
        <v>459</v>
      </c>
      <c r="F453">
        <v>38.474639892578118</v>
      </c>
      <c r="G453">
        <v>59.900634765625</v>
      </c>
      <c r="H453">
        <v>98.375274658203125</v>
      </c>
      <c r="I453" s="5" t="str">
        <f t="shared" ref="I453:I516" si="24" xml:space="preserve"> IF(D453 &lt;= 39, "Low",
               IF(D453 &lt;= 69, "Medium", "High"))</f>
        <v>High</v>
      </c>
      <c r="J453" s="5" t="str">
        <f t="shared" ref="J453:J516" si="25" xml:space="preserve"> IF(H453 &lt;= 39, "Low",
               IF(H453 &lt;= 69, "Medium", "High"))</f>
        <v>High</v>
      </c>
      <c r="K453" s="6">
        <f t="shared" ref="K453:K516" si="26" xml:space="preserve"> IF(ABS(D453 - H453) &lt;= 30, 1, 0)</f>
        <v>0</v>
      </c>
    </row>
    <row r="454" spans="1:11" x14ac:dyDescent="0.3">
      <c r="A454" t="s">
        <v>460</v>
      </c>
      <c r="B454">
        <v>40</v>
      </c>
      <c r="C454">
        <v>90</v>
      </c>
      <c r="D454">
        <v>130</v>
      </c>
      <c r="E454" t="s">
        <v>460</v>
      </c>
      <c r="F454">
        <v>42.288623809814453</v>
      </c>
      <c r="G454">
        <v>58.658863067626953</v>
      </c>
      <c r="H454">
        <v>100.94748687744141</v>
      </c>
      <c r="I454" s="5" t="str">
        <f t="shared" si="24"/>
        <v>High</v>
      </c>
      <c r="J454" s="5" t="str">
        <f t="shared" si="25"/>
        <v>High</v>
      </c>
      <c r="K454" s="6">
        <f t="shared" si="26"/>
        <v>1</v>
      </c>
    </row>
    <row r="455" spans="1:11" x14ac:dyDescent="0.3">
      <c r="A455" t="s">
        <v>461</v>
      </c>
      <c r="B455">
        <v>40</v>
      </c>
      <c r="C455">
        <v>90</v>
      </c>
      <c r="D455">
        <v>130</v>
      </c>
      <c r="E455" t="s">
        <v>461</v>
      </c>
      <c r="F455">
        <v>44.866973876953118</v>
      </c>
      <c r="G455">
        <v>69.021820068359375</v>
      </c>
      <c r="H455">
        <v>113.888786315918</v>
      </c>
      <c r="I455" s="5" t="str">
        <f t="shared" si="24"/>
        <v>High</v>
      </c>
      <c r="J455" s="5" t="str">
        <f t="shared" si="25"/>
        <v>High</v>
      </c>
      <c r="K455" s="6">
        <f t="shared" si="26"/>
        <v>1</v>
      </c>
    </row>
    <row r="456" spans="1:11" x14ac:dyDescent="0.3">
      <c r="A456" t="s">
        <v>462</v>
      </c>
      <c r="B456">
        <v>40</v>
      </c>
      <c r="C456">
        <v>90</v>
      </c>
      <c r="D456">
        <v>130</v>
      </c>
      <c r="E456" t="s">
        <v>462</v>
      </c>
      <c r="F456">
        <v>36.912071228027337</v>
      </c>
      <c r="G456">
        <v>56.838142395019531</v>
      </c>
      <c r="H456">
        <v>93.750213623046875</v>
      </c>
      <c r="I456" s="5" t="str">
        <f t="shared" si="24"/>
        <v>High</v>
      </c>
      <c r="J456" s="5" t="str">
        <f t="shared" si="25"/>
        <v>High</v>
      </c>
      <c r="K456" s="6">
        <f t="shared" si="26"/>
        <v>0</v>
      </c>
    </row>
    <row r="457" spans="1:11" x14ac:dyDescent="0.3">
      <c r="A457" t="s">
        <v>463</v>
      </c>
      <c r="B457">
        <v>40</v>
      </c>
      <c r="C457">
        <v>90</v>
      </c>
      <c r="D457">
        <v>130</v>
      </c>
      <c r="E457" t="s">
        <v>463</v>
      </c>
      <c r="F457">
        <v>37.751731872558587</v>
      </c>
      <c r="G457">
        <v>59.567893981933587</v>
      </c>
      <c r="H457">
        <v>97.319625854492188</v>
      </c>
      <c r="I457" s="5" t="str">
        <f t="shared" si="24"/>
        <v>High</v>
      </c>
      <c r="J457" s="5" t="str">
        <f t="shared" si="25"/>
        <v>High</v>
      </c>
      <c r="K457" s="6">
        <f t="shared" si="26"/>
        <v>0</v>
      </c>
    </row>
    <row r="458" spans="1:11" x14ac:dyDescent="0.3">
      <c r="A458" t="s">
        <v>464</v>
      </c>
      <c r="B458">
        <v>40</v>
      </c>
      <c r="C458">
        <v>90</v>
      </c>
      <c r="D458">
        <v>130</v>
      </c>
      <c r="E458" t="s">
        <v>464</v>
      </c>
      <c r="F458">
        <v>35.476795196533203</v>
      </c>
      <c r="G458">
        <v>54.628108978271477</v>
      </c>
      <c r="H458">
        <v>90.104904174804688</v>
      </c>
      <c r="I458" s="5" t="str">
        <f t="shared" si="24"/>
        <v>High</v>
      </c>
      <c r="J458" s="5" t="str">
        <f t="shared" si="25"/>
        <v>High</v>
      </c>
      <c r="K458" s="6">
        <f t="shared" si="26"/>
        <v>0</v>
      </c>
    </row>
    <row r="459" spans="1:11" x14ac:dyDescent="0.3">
      <c r="A459" t="s">
        <v>465</v>
      </c>
      <c r="B459">
        <v>40</v>
      </c>
      <c r="C459">
        <v>90</v>
      </c>
      <c r="D459">
        <v>130</v>
      </c>
      <c r="E459" t="s">
        <v>465</v>
      </c>
      <c r="F459">
        <v>37.075248718261719</v>
      </c>
      <c r="G459">
        <v>63.579441070556641</v>
      </c>
      <c r="H459">
        <v>100.65468597412109</v>
      </c>
      <c r="I459" s="5" t="str">
        <f t="shared" si="24"/>
        <v>High</v>
      </c>
      <c r="J459" s="5" t="str">
        <f t="shared" si="25"/>
        <v>High</v>
      </c>
      <c r="K459" s="6">
        <f t="shared" si="26"/>
        <v>1</v>
      </c>
    </row>
    <row r="460" spans="1:11" x14ac:dyDescent="0.3">
      <c r="A460" t="s">
        <v>466</v>
      </c>
      <c r="B460">
        <v>40</v>
      </c>
      <c r="C460">
        <v>90</v>
      </c>
      <c r="D460">
        <v>130</v>
      </c>
      <c r="E460" t="s">
        <v>466</v>
      </c>
      <c r="F460">
        <v>33.870929718017578</v>
      </c>
      <c r="G460">
        <v>46.266056060791023</v>
      </c>
      <c r="H460">
        <v>80.136985778808594</v>
      </c>
      <c r="I460" s="5" t="str">
        <f t="shared" si="24"/>
        <v>High</v>
      </c>
      <c r="J460" s="5" t="str">
        <f t="shared" si="25"/>
        <v>High</v>
      </c>
      <c r="K460" s="6">
        <f t="shared" si="26"/>
        <v>0</v>
      </c>
    </row>
    <row r="461" spans="1:11" x14ac:dyDescent="0.3">
      <c r="A461" t="s">
        <v>467</v>
      </c>
      <c r="B461">
        <v>40</v>
      </c>
      <c r="C461">
        <v>90</v>
      </c>
      <c r="D461">
        <v>130</v>
      </c>
      <c r="E461" t="s">
        <v>467</v>
      </c>
      <c r="F461">
        <v>45.736984252929688</v>
      </c>
      <c r="G461">
        <v>71.907135009765625</v>
      </c>
      <c r="H461">
        <v>117.6441192626953</v>
      </c>
      <c r="I461" s="5" t="str">
        <f t="shared" si="24"/>
        <v>High</v>
      </c>
      <c r="J461" s="5" t="str">
        <f t="shared" si="25"/>
        <v>High</v>
      </c>
      <c r="K461" s="6">
        <f t="shared" si="26"/>
        <v>1</v>
      </c>
    </row>
    <row r="462" spans="1:11" x14ac:dyDescent="0.3">
      <c r="A462" t="s">
        <v>468</v>
      </c>
      <c r="B462">
        <v>40</v>
      </c>
      <c r="C462">
        <v>90</v>
      </c>
      <c r="D462">
        <v>130</v>
      </c>
      <c r="E462" t="s">
        <v>468</v>
      </c>
      <c r="F462">
        <v>32.078975677490227</v>
      </c>
      <c r="G462">
        <v>53.500198364257813</v>
      </c>
      <c r="H462">
        <v>85.579177856445313</v>
      </c>
      <c r="I462" s="5" t="str">
        <f t="shared" si="24"/>
        <v>High</v>
      </c>
      <c r="J462" s="5" t="str">
        <f t="shared" si="25"/>
        <v>High</v>
      </c>
      <c r="K462" s="6">
        <f t="shared" si="26"/>
        <v>0</v>
      </c>
    </row>
    <row r="463" spans="1:11" x14ac:dyDescent="0.3">
      <c r="A463" t="s">
        <v>469</v>
      </c>
      <c r="B463">
        <v>40</v>
      </c>
      <c r="C463">
        <v>90</v>
      </c>
      <c r="D463">
        <v>130</v>
      </c>
      <c r="E463" t="s">
        <v>469</v>
      </c>
      <c r="F463">
        <v>35.815898895263672</v>
      </c>
      <c r="G463">
        <v>56.838363647460938</v>
      </c>
      <c r="H463">
        <v>92.654266357421875</v>
      </c>
      <c r="I463" s="5" t="str">
        <f t="shared" si="24"/>
        <v>High</v>
      </c>
      <c r="J463" s="5" t="str">
        <f t="shared" si="25"/>
        <v>High</v>
      </c>
      <c r="K463" s="6">
        <f t="shared" si="26"/>
        <v>0</v>
      </c>
    </row>
    <row r="464" spans="1:11" x14ac:dyDescent="0.3">
      <c r="A464" t="s">
        <v>470</v>
      </c>
      <c r="B464">
        <v>40</v>
      </c>
      <c r="C464">
        <v>90</v>
      </c>
      <c r="D464">
        <v>130</v>
      </c>
      <c r="E464" t="s">
        <v>470</v>
      </c>
      <c r="F464">
        <v>36.733524322509773</v>
      </c>
      <c r="G464">
        <v>45.939529418945313</v>
      </c>
      <c r="H464">
        <v>82.673057556152344</v>
      </c>
      <c r="I464" s="5" t="str">
        <f t="shared" si="24"/>
        <v>High</v>
      </c>
      <c r="J464" s="5" t="str">
        <f t="shared" si="25"/>
        <v>High</v>
      </c>
      <c r="K464" s="6">
        <f t="shared" si="26"/>
        <v>0</v>
      </c>
    </row>
    <row r="465" spans="1:11" x14ac:dyDescent="0.3">
      <c r="A465" t="s">
        <v>471</v>
      </c>
      <c r="B465">
        <v>40</v>
      </c>
      <c r="C465">
        <v>90</v>
      </c>
      <c r="D465">
        <v>130</v>
      </c>
      <c r="E465" t="s">
        <v>471</v>
      </c>
      <c r="F465">
        <v>39.260951995849609</v>
      </c>
      <c r="G465">
        <v>49.241264343261719</v>
      </c>
      <c r="H465">
        <v>88.502212524414063</v>
      </c>
      <c r="I465" s="5" t="str">
        <f t="shared" si="24"/>
        <v>High</v>
      </c>
      <c r="J465" s="5" t="str">
        <f t="shared" si="25"/>
        <v>High</v>
      </c>
      <c r="K465" s="6">
        <f t="shared" si="26"/>
        <v>0</v>
      </c>
    </row>
    <row r="466" spans="1:11" x14ac:dyDescent="0.3">
      <c r="A466" t="s">
        <v>472</v>
      </c>
      <c r="B466">
        <v>40</v>
      </c>
      <c r="C466">
        <v>90</v>
      </c>
      <c r="D466">
        <v>130</v>
      </c>
      <c r="E466" t="s">
        <v>472</v>
      </c>
      <c r="F466">
        <v>35.358970642089837</v>
      </c>
      <c r="G466">
        <v>44.353168487548828</v>
      </c>
      <c r="H466">
        <v>79.712142944335938</v>
      </c>
      <c r="I466" s="5" t="str">
        <f t="shared" si="24"/>
        <v>High</v>
      </c>
      <c r="J466" s="5" t="str">
        <f t="shared" si="25"/>
        <v>High</v>
      </c>
      <c r="K466" s="6">
        <f t="shared" si="26"/>
        <v>0</v>
      </c>
    </row>
    <row r="467" spans="1:11" x14ac:dyDescent="0.3">
      <c r="A467" t="s">
        <v>473</v>
      </c>
      <c r="B467">
        <v>20</v>
      </c>
      <c r="C467">
        <v>30.000001907348629</v>
      </c>
      <c r="D467">
        <v>50</v>
      </c>
      <c r="E467" t="s">
        <v>473</v>
      </c>
      <c r="F467">
        <v>38.347629547119141</v>
      </c>
      <c r="G467">
        <v>51.245403289794922</v>
      </c>
      <c r="H467">
        <v>89.593032836914063</v>
      </c>
      <c r="I467" s="5" t="str">
        <f t="shared" si="24"/>
        <v>Medium</v>
      </c>
      <c r="J467" s="5" t="str">
        <f t="shared" si="25"/>
        <v>High</v>
      </c>
      <c r="K467" s="6">
        <f t="shared" si="26"/>
        <v>0</v>
      </c>
    </row>
    <row r="468" spans="1:11" x14ac:dyDescent="0.3">
      <c r="A468" t="s">
        <v>474</v>
      </c>
      <c r="B468">
        <v>20</v>
      </c>
      <c r="C468">
        <v>30.000001907348629</v>
      </c>
      <c r="D468">
        <v>50</v>
      </c>
      <c r="E468" t="s">
        <v>474</v>
      </c>
      <c r="F468">
        <v>39.949119567871087</v>
      </c>
      <c r="G468">
        <v>51.158870697021477</v>
      </c>
      <c r="H468">
        <v>91.107986450195313</v>
      </c>
      <c r="I468" s="5" t="str">
        <f t="shared" si="24"/>
        <v>Medium</v>
      </c>
      <c r="J468" s="5" t="str">
        <f t="shared" si="25"/>
        <v>High</v>
      </c>
      <c r="K468" s="6">
        <f t="shared" si="26"/>
        <v>0</v>
      </c>
    </row>
    <row r="469" spans="1:11" x14ac:dyDescent="0.3">
      <c r="A469" t="s">
        <v>475</v>
      </c>
      <c r="B469">
        <v>20</v>
      </c>
      <c r="C469">
        <v>30.000001907348629</v>
      </c>
      <c r="D469">
        <v>50</v>
      </c>
      <c r="E469" t="s">
        <v>475</v>
      </c>
      <c r="F469">
        <v>34.3800048828125</v>
      </c>
      <c r="G469">
        <v>48.968013763427727</v>
      </c>
      <c r="H469">
        <v>83.3480224609375</v>
      </c>
      <c r="I469" s="5" t="str">
        <f t="shared" si="24"/>
        <v>Medium</v>
      </c>
      <c r="J469" s="5" t="str">
        <f t="shared" si="25"/>
        <v>High</v>
      </c>
      <c r="K469" s="6">
        <f t="shared" si="26"/>
        <v>0</v>
      </c>
    </row>
    <row r="470" spans="1:11" x14ac:dyDescent="0.3">
      <c r="A470" t="s">
        <v>476</v>
      </c>
      <c r="B470">
        <v>20</v>
      </c>
      <c r="C470">
        <v>30.000001907348629</v>
      </c>
      <c r="D470">
        <v>50</v>
      </c>
      <c r="E470" t="s">
        <v>476</v>
      </c>
      <c r="F470">
        <v>43.51190185546875</v>
      </c>
      <c r="G470">
        <v>54.863029479980469</v>
      </c>
      <c r="H470">
        <v>98.374931335449219</v>
      </c>
      <c r="I470" s="5" t="str">
        <f t="shared" si="24"/>
        <v>Medium</v>
      </c>
      <c r="J470" s="5" t="str">
        <f t="shared" si="25"/>
        <v>High</v>
      </c>
      <c r="K470" s="6">
        <f t="shared" si="26"/>
        <v>0</v>
      </c>
    </row>
    <row r="471" spans="1:11" x14ac:dyDescent="0.3">
      <c r="A471" t="s">
        <v>477</v>
      </c>
      <c r="B471">
        <v>20</v>
      </c>
      <c r="C471">
        <v>30.000001907348629</v>
      </c>
      <c r="D471">
        <v>50</v>
      </c>
      <c r="E471" t="s">
        <v>477</v>
      </c>
      <c r="F471">
        <v>44.350582122802727</v>
      </c>
      <c r="G471">
        <v>56.066303253173828</v>
      </c>
      <c r="H471">
        <v>100.41688537597661</v>
      </c>
      <c r="I471" s="5" t="str">
        <f t="shared" si="24"/>
        <v>Medium</v>
      </c>
      <c r="J471" s="5" t="str">
        <f t="shared" si="25"/>
        <v>High</v>
      </c>
      <c r="K471" s="6">
        <f t="shared" si="26"/>
        <v>0</v>
      </c>
    </row>
    <row r="472" spans="1:11" x14ac:dyDescent="0.3">
      <c r="A472" t="s">
        <v>478</v>
      </c>
      <c r="B472">
        <v>20</v>
      </c>
      <c r="C472">
        <v>30.000001907348629</v>
      </c>
      <c r="D472">
        <v>50</v>
      </c>
      <c r="E472" t="s">
        <v>478</v>
      </c>
      <c r="F472">
        <v>45.494144439697273</v>
      </c>
      <c r="G472">
        <v>57.139968872070313</v>
      </c>
      <c r="H472">
        <v>102.6341171264648</v>
      </c>
      <c r="I472" s="5" t="str">
        <f t="shared" si="24"/>
        <v>Medium</v>
      </c>
      <c r="J472" s="5" t="str">
        <f t="shared" si="25"/>
        <v>High</v>
      </c>
      <c r="K472" s="6">
        <f t="shared" si="26"/>
        <v>0</v>
      </c>
    </row>
    <row r="473" spans="1:11" x14ac:dyDescent="0.3">
      <c r="A473" t="s">
        <v>479</v>
      </c>
      <c r="B473">
        <v>10</v>
      </c>
      <c r="C473">
        <v>10</v>
      </c>
      <c r="D473">
        <v>20</v>
      </c>
      <c r="E473" t="s">
        <v>479</v>
      </c>
      <c r="F473">
        <v>39.941997528076172</v>
      </c>
      <c r="G473">
        <v>45.186920166015618</v>
      </c>
      <c r="H473">
        <v>85.128913879394531</v>
      </c>
      <c r="I473" s="5" t="str">
        <f t="shared" si="24"/>
        <v>Low</v>
      </c>
      <c r="J473" s="5" t="str">
        <f t="shared" si="25"/>
        <v>High</v>
      </c>
      <c r="K473" s="6">
        <f t="shared" si="26"/>
        <v>0</v>
      </c>
    </row>
    <row r="474" spans="1:11" x14ac:dyDescent="0.3">
      <c r="A474" t="s">
        <v>480</v>
      </c>
      <c r="B474">
        <v>10</v>
      </c>
      <c r="C474">
        <v>10</v>
      </c>
      <c r="D474">
        <v>20</v>
      </c>
      <c r="E474" t="s">
        <v>480</v>
      </c>
      <c r="F474">
        <v>41.556324005126953</v>
      </c>
      <c r="G474">
        <v>52.348953247070313</v>
      </c>
      <c r="H474">
        <v>93.905281066894531</v>
      </c>
      <c r="I474" s="5" t="str">
        <f t="shared" si="24"/>
        <v>Low</v>
      </c>
      <c r="J474" s="5" t="str">
        <f t="shared" si="25"/>
        <v>High</v>
      </c>
      <c r="K474" s="6">
        <f t="shared" si="26"/>
        <v>0</v>
      </c>
    </row>
    <row r="475" spans="1:11" x14ac:dyDescent="0.3">
      <c r="A475" t="s">
        <v>481</v>
      </c>
      <c r="B475">
        <v>10</v>
      </c>
      <c r="C475">
        <v>10</v>
      </c>
      <c r="D475">
        <v>20</v>
      </c>
      <c r="E475" t="s">
        <v>481</v>
      </c>
      <c r="F475">
        <v>44.2637939453125</v>
      </c>
      <c r="G475">
        <v>53.102596282958977</v>
      </c>
      <c r="H475">
        <v>97.366386413574219</v>
      </c>
      <c r="I475" s="5" t="str">
        <f t="shared" si="24"/>
        <v>Low</v>
      </c>
      <c r="J475" s="5" t="str">
        <f t="shared" si="25"/>
        <v>High</v>
      </c>
      <c r="K475" s="6">
        <f t="shared" si="26"/>
        <v>0</v>
      </c>
    </row>
    <row r="476" spans="1:11" x14ac:dyDescent="0.3">
      <c r="A476" t="s">
        <v>482</v>
      </c>
      <c r="B476">
        <v>10</v>
      </c>
      <c r="C476">
        <v>10</v>
      </c>
      <c r="D476">
        <v>20</v>
      </c>
      <c r="E476" t="s">
        <v>482</v>
      </c>
      <c r="F476">
        <v>38.422714233398438</v>
      </c>
      <c r="G476">
        <v>50.077564239501953</v>
      </c>
      <c r="H476">
        <v>88.500274658203125</v>
      </c>
      <c r="I476" s="5" t="str">
        <f t="shared" si="24"/>
        <v>Low</v>
      </c>
      <c r="J476" s="5" t="str">
        <f t="shared" si="25"/>
        <v>High</v>
      </c>
      <c r="K476" s="6">
        <f t="shared" si="26"/>
        <v>0</v>
      </c>
    </row>
    <row r="477" spans="1:11" x14ac:dyDescent="0.3">
      <c r="A477" t="s">
        <v>483</v>
      </c>
      <c r="B477">
        <v>10</v>
      </c>
      <c r="C477">
        <v>10</v>
      </c>
      <c r="D477">
        <v>20</v>
      </c>
      <c r="E477" t="s">
        <v>483</v>
      </c>
      <c r="F477">
        <v>42.118759155273438</v>
      </c>
      <c r="G477">
        <v>54.617214202880859</v>
      </c>
      <c r="H477">
        <v>96.735969543457031</v>
      </c>
      <c r="I477" s="5" t="str">
        <f t="shared" si="24"/>
        <v>Low</v>
      </c>
      <c r="J477" s="5" t="str">
        <f t="shared" si="25"/>
        <v>High</v>
      </c>
      <c r="K477" s="6">
        <f t="shared" si="26"/>
        <v>0</v>
      </c>
    </row>
    <row r="478" spans="1:11" x14ac:dyDescent="0.3">
      <c r="A478" t="s">
        <v>484</v>
      </c>
      <c r="B478">
        <v>10</v>
      </c>
      <c r="C478">
        <v>10</v>
      </c>
      <c r="D478">
        <v>20</v>
      </c>
      <c r="E478" t="s">
        <v>484</v>
      </c>
      <c r="F478">
        <v>34.105293273925781</v>
      </c>
      <c r="G478">
        <v>44.235919952392578</v>
      </c>
      <c r="H478">
        <v>78.341209411621094</v>
      </c>
      <c r="I478" s="5" t="str">
        <f t="shared" si="24"/>
        <v>Low</v>
      </c>
      <c r="J478" s="5" t="str">
        <f t="shared" si="25"/>
        <v>High</v>
      </c>
      <c r="K478" s="6">
        <f t="shared" si="26"/>
        <v>0</v>
      </c>
    </row>
    <row r="479" spans="1:11" x14ac:dyDescent="0.3">
      <c r="A479" t="s">
        <v>485</v>
      </c>
      <c r="B479">
        <v>10</v>
      </c>
      <c r="C479">
        <v>10</v>
      </c>
      <c r="D479">
        <v>20</v>
      </c>
      <c r="E479" t="s">
        <v>485</v>
      </c>
      <c r="F479">
        <v>40.73114013671875</v>
      </c>
      <c r="G479">
        <v>53.260456085205078</v>
      </c>
      <c r="H479">
        <v>93.991600036621094</v>
      </c>
      <c r="I479" s="5" t="str">
        <f t="shared" si="24"/>
        <v>Low</v>
      </c>
      <c r="J479" s="5" t="str">
        <f t="shared" si="25"/>
        <v>High</v>
      </c>
      <c r="K479" s="6">
        <f t="shared" si="26"/>
        <v>0</v>
      </c>
    </row>
    <row r="480" spans="1:11" x14ac:dyDescent="0.3">
      <c r="A480" t="s">
        <v>486</v>
      </c>
      <c r="B480">
        <v>10</v>
      </c>
      <c r="C480">
        <v>10</v>
      </c>
      <c r="D480">
        <v>20</v>
      </c>
      <c r="E480" t="s">
        <v>486</v>
      </c>
      <c r="F480">
        <v>44.728408813476563</v>
      </c>
      <c r="G480">
        <v>57.310249328613281</v>
      </c>
      <c r="H480">
        <v>102.0386581420898</v>
      </c>
      <c r="I480" s="5" t="str">
        <f t="shared" si="24"/>
        <v>Low</v>
      </c>
      <c r="J480" s="5" t="str">
        <f t="shared" si="25"/>
        <v>High</v>
      </c>
      <c r="K480" s="6">
        <f t="shared" si="26"/>
        <v>0</v>
      </c>
    </row>
    <row r="481" spans="1:11" x14ac:dyDescent="0.3">
      <c r="A481" t="s">
        <v>487</v>
      </c>
      <c r="B481">
        <v>10</v>
      </c>
      <c r="C481">
        <v>10</v>
      </c>
      <c r="D481">
        <v>20</v>
      </c>
      <c r="E481" t="s">
        <v>487</v>
      </c>
      <c r="F481">
        <v>44.46331787109375</v>
      </c>
      <c r="G481">
        <v>55.693138122558587</v>
      </c>
      <c r="H481">
        <v>100.1564483642578</v>
      </c>
      <c r="I481" s="5" t="str">
        <f t="shared" si="24"/>
        <v>Low</v>
      </c>
      <c r="J481" s="5" t="str">
        <f t="shared" si="25"/>
        <v>High</v>
      </c>
      <c r="K481" s="6">
        <f t="shared" si="26"/>
        <v>0</v>
      </c>
    </row>
    <row r="482" spans="1:11" x14ac:dyDescent="0.3">
      <c r="A482" t="s">
        <v>488</v>
      </c>
      <c r="B482">
        <v>10</v>
      </c>
      <c r="C482">
        <v>10</v>
      </c>
      <c r="D482">
        <v>20</v>
      </c>
      <c r="E482" t="s">
        <v>488</v>
      </c>
      <c r="F482">
        <v>35.774532318115227</v>
      </c>
      <c r="G482">
        <v>46.638114929199219</v>
      </c>
      <c r="H482">
        <v>82.412651062011719</v>
      </c>
      <c r="I482" s="5" t="str">
        <f t="shared" si="24"/>
        <v>Low</v>
      </c>
      <c r="J482" s="5" t="str">
        <f t="shared" si="25"/>
        <v>High</v>
      </c>
      <c r="K482" s="6">
        <f t="shared" si="26"/>
        <v>0</v>
      </c>
    </row>
    <row r="483" spans="1:11" x14ac:dyDescent="0.3">
      <c r="A483" t="s">
        <v>489</v>
      </c>
      <c r="B483">
        <v>10</v>
      </c>
      <c r="C483">
        <v>10</v>
      </c>
      <c r="D483">
        <v>20</v>
      </c>
      <c r="E483" t="s">
        <v>489</v>
      </c>
      <c r="F483">
        <v>38.860240936279297</v>
      </c>
      <c r="G483">
        <v>50.984901428222663</v>
      </c>
      <c r="H483">
        <v>89.845146179199219</v>
      </c>
      <c r="I483" s="5" t="str">
        <f t="shared" si="24"/>
        <v>Low</v>
      </c>
      <c r="J483" s="5" t="str">
        <f t="shared" si="25"/>
        <v>High</v>
      </c>
      <c r="K483" s="6">
        <f t="shared" si="26"/>
        <v>0</v>
      </c>
    </row>
    <row r="484" spans="1:11" x14ac:dyDescent="0.3">
      <c r="A484" t="s">
        <v>490</v>
      </c>
      <c r="B484">
        <v>10</v>
      </c>
      <c r="C484">
        <v>10</v>
      </c>
      <c r="D484">
        <v>20</v>
      </c>
      <c r="E484" t="s">
        <v>490</v>
      </c>
      <c r="F484">
        <v>31.385696411132809</v>
      </c>
      <c r="G484">
        <v>39.872112274169922</v>
      </c>
      <c r="H484">
        <v>71.257804870605469</v>
      </c>
      <c r="I484" s="5" t="str">
        <f t="shared" si="24"/>
        <v>Low</v>
      </c>
      <c r="J484" s="5" t="str">
        <f t="shared" si="25"/>
        <v>High</v>
      </c>
      <c r="K484" s="6">
        <f t="shared" si="26"/>
        <v>0</v>
      </c>
    </row>
    <row r="485" spans="1:11" x14ac:dyDescent="0.3">
      <c r="A485" t="s">
        <v>491</v>
      </c>
      <c r="B485">
        <v>60.000003814697273</v>
      </c>
      <c r="C485">
        <v>50</v>
      </c>
      <c r="D485">
        <v>110</v>
      </c>
      <c r="E485" t="s">
        <v>491</v>
      </c>
      <c r="F485">
        <v>33.766475677490227</v>
      </c>
      <c r="G485">
        <v>46.279045104980469</v>
      </c>
      <c r="H485">
        <v>80.045524597167969</v>
      </c>
      <c r="I485" s="5" t="str">
        <f t="shared" si="24"/>
        <v>High</v>
      </c>
      <c r="J485" s="5" t="str">
        <f t="shared" si="25"/>
        <v>High</v>
      </c>
      <c r="K485" s="6">
        <f t="shared" si="26"/>
        <v>1</v>
      </c>
    </row>
    <row r="486" spans="1:11" x14ac:dyDescent="0.3">
      <c r="A486" t="s">
        <v>492</v>
      </c>
      <c r="B486">
        <v>60.000003814697273</v>
      </c>
      <c r="C486">
        <v>50</v>
      </c>
      <c r="D486">
        <v>110</v>
      </c>
      <c r="E486" t="s">
        <v>492</v>
      </c>
      <c r="F486">
        <v>27.00379753112793</v>
      </c>
      <c r="G486">
        <v>38.658966064453118</v>
      </c>
      <c r="H486">
        <v>65.662765502929688</v>
      </c>
      <c r="I486" s="5" t="str">
        <f t="shared" si="24"/>
        <v>High</v>
      </c>
      <c r="J486" s="5" t="str">
        <f t="shared" si="25"/>
        <v>Medium</v>
      </c>
      <c r="K486" s="6">
        <f t="shared" si="26"/>
        <v>0</v>
      </c>
    </row>
    <row r="487" spans="1:11" x14ac:dyDescent="0.3">
      <c r="A487" t="s">
        <v>493</v>
      </c>
      <c r="B487">
        <v>60.000003814697273</v>
      </c>
      <c r="C487">
        <v>50</v>
      </c>
      <c r="D487">
        <v>110</v>
      </c>
      <c r="E487" t="s">
        <v>493</v>
      </c>
      <c r="F487">
        <v>34.115386962890618</v>
      </c>
      <c r="G487">
        <v>43.873329162597663</v>
      </c>
      <c r="H487">
        <v>77.988723754882813</v>
      </c>
      <c r="I487" s="5" t="str">
        <f t="shared" si="24"/>
        <v>High</v>
      </c>
      <c r="J487" s="5" t="str">
        <f t="shared" si="25"/>
        <v>High</v>
      </c>
      <c r="K487" s="6">
        <f t="shared" si="26"/>
        <v>0</v>
      </c>
    </row>
    <row r="488" spans="1:11" x14ac:dyDescent="0.3">
      <c r="A488" t="s">
        <v>494</v>
      </c>
      <c r="B488">
        <v>60.000003814697273</v>
      </c>
      <c r="C488">
        <v>50</v>
      </c>
      <c r="D488">
        <v>110</v>
      </c>
      <c r="E488" t="s">
        <v>494</v>
      </c>
      <c r="F488">
        <v>51.573162078857422</v>
      </c>
      <c r="G488">
        <v>67.847969055175781</v>
      </c>
      <c r="H488">
        <v>119.42112731933589</v>
      </c>
      <c r="I488" s="5" t="str">
        <f t="shared" si="24"/>
        <v>High</v>
      </c>
      <c r="J488" s="5" t="str">
        <f t="shared" si="25"/>
        <v>High</v>
      </c>
      <c r="K488" s="6">
        <f t="shared" si="26"/>
        <v>1</v>
      </c>
    </row>
    <row r="489" spans="1:11" x14ac:dyDescent="0.3">
      <c r="A489" t="s">
        <v>495</v>
      </c>
      <c r="B489">
        <v>60.000003814697273</v>
      </c>
      <c r="C489">
        <v>50</v>
      </c>
      <c r="D489">
        <v>110</v>
      </c>
      <c r="E489" t="s">
        <v>495</v>
      </c>
      <c r="F489">
        <v>39.128406524658203</v>
      </c>
      <c r="G489">
        <v>46.55767822265625</v>
      </c>
      <c r="H489">
        <v>85.686088562011719</v>
      </c>
      <c r="I489" s="5" t="str">
        <f t="shared" si="24"/>
        <v>High</v>
      </c>
      <c r="J489" s="5" t="str">
        <f t="shared" si="25"/>
        <v>High</v>
      </c>
      <c r="K489" s="6">
        <f t="shared" si="26"/>
        <v>1</v>
      </c>
    </row>
    <row r="490" spans="1:11" x14ac:dyDescent="0.3">
      <c r="A490" t="s">
        <v>496</v>
      </c>
      <c r="B490">
        <v>60.000003814697273</v>
      </c>
      <c r="C490">
        <v>50</v>
      </c>
      <c r="D490">
        <v>110</v>
      </c>
      <c r="E490" t="s">
        <v>496</v>
      </c>
      <c r="F490">
        <v>48.825504302978523</v>
      </c>
      <c r="G490">
        <v>59.763698577880859</v>
      </c>
      <c r="H490">
        <v>108.58921051025391</v>
      </c>
      <c r="I490" s="5" t="str">
        <f t="shared" si="24"/>
        <v>High</v>
      </c>
      <c r="J490" s="5" t="str">
        <f t="shared" si="25"/>
        <v>High</v>
      </c>
      <c r="K490" s="6">
        <f t="shared" si="26"/>
        <v>1</v>
      </c>
    </row>
    <row r="491" spans="1:11" x14ac:dyDescent="0.3">
      <c r="A491" t="s">
        <v>497</v>
      </c>
      <c r="B491">
        <v>60.000003814697273</v>
      </c>
      <c r="C491">
        <v>50</v>
      </c>
      <c r="D491">
        <v>110</v>
      </c>
      <c r="E491" t="s">
        <v>497</v>
      </c>
      <c r="F491">
        <v>49.163242340087891</v>
      </c>
      <c r="G491">
        <v>65.760391235351563</v>
      </c>
      <c r="H491">
        <v>114.9236297607422</v>
      </c>
      <c r="I491" s="5" t="str">
        <f t="shared" si="24"/>
        <v>High</v>
      </c>
      <c r="J491" s="5" t="str">
        <f t="shared" si="25"/>
        <v>High</v>
      </c>
      <c r="K491" s="6">
        <f t="shared" si="26"/>
        <v>1</v>
      </c>
    </row>
    <row r="492" spans="1:11" x14ac:dyDescent="0.3">
      <c r="A492" t="s">
        <v>498</v>
      </c>
      <c r="B492">
        <v>60.000003814697273</v>
      </c>
      <c r="C492">
        <v>50</v>
      </c>
      <c r="D492">
        <v>110</v>
      </c>
      <c r="E492" t="s">
        <v>498</v>
      </c>
      <c r="F492">
        <v>48.775150299072273</v>
      </c>
      <c r="G492">
        <v>64.009407043457031</v>
      </c>
      <c r="H492">
        <v>112.784553527832</v>
      </c>
      <c r="I492" s="5" t="str">
        <f t="shared" si="24"/>
        <v>High</v>
      </c>
      <c r="J492" s="5" t="str">
        <f t="shared" si="25"/>
        <v>High</v>
      </c>
      <c r="K492" s="6">
        <f t="shared" si="26"/>
        <v>1</v>
      </c>
    </row>
    <row r="493" spans="1:11" x14ac:dyDescent="0.3">
      <c r="A493" t="s">
        <v>499</v>
      </c>
      <c r="B493">
        <v>60.000003814697273</v>
      </c>
      <c r="C493">
        <v>50</v>
      </c>
      <c r="D493">
        <v>110</v>
      </c>
      <c r="E493" t="s">
        <v>499</v>
      </c>
      <c r="F493">
        <v>49.097099304199219</v>
      </c>
      <c r="G493">
        <v>64.980972290039063</v>
      </c>
      <c r="H493">
        <v>114.0780715942383</v>
      </c>
      <c r="I493" s="5" t="str">
        <f t="shared" si="24"/>
        <v>High</v>
      </c>
      <c r="J493" s="5" t="str">
        <f t="shared" si="25"/>
        <v>High</v>
      </c>
      <c r="K493" s="6">
        <f t="shared" si="26"/>
        <v>1</v>
      </c>
    </row>
    <row r="494" spans="1:11" x14ac:dyDescent="0.3">
      <c r="A494" t="s">
        <v>500</v>
      </c>
      <c r="B494">
        <v>60.000003814697273</v>
      </c>
      <c r="C494">
        <v>50</v>
      </c>
      <c r="D494">
        <v>110</v>
      </c>
      <c r="E494" t="s">
        <v>500</v>
      </c>
      <c r="F494">
        <v>37.082431793212891</v>
      </c>
      <c r="G494">
        <v>52.831977844238281</v>
      </c>
      <c r="H494">
        <v>89.914405822753906</v>
      </c>
      <c r="I494" s="5" t="str">
        <f t="shared" si="24"/>
        <v>High</v>
      </c>
      <c r="J494" s="5" t="str">
        <f t="shared" si="25"/>
        <v>High</v>
      </c>
      <c r="K494" s="6">
        <f t="shared" si="26"/>
        <v>1</v>
      </c>
    </row>
    <row r="495" spans="1:11" x14ac:dyDescent="0.3">
      <c r="A495" t="s">
        <v>501</v>
      </c>
      <c r="B495">
        <v>60.000003814697273</v>
      </c>
      <c r="C495">
        <v>50</v>
      </c>
      <c r="D495">
        <v>110</v>
      </c>
      <c r="E495" t="s">
        <v>501</v>
      </c>
      <c r="F495">
        <v>54.065143585205078</v>
      </c>
      <c r="G495">
        <v>69.604598999023438</v>
      </c>
      <c r="H495">
        <v>123.6697463989258</v>
      </c>
      <c r="I495" s="5" t="str">
        <f t="shared" si="24"/>
        <v>High</v>
      </c>
      <c r="J495" s="5" t="str">
        <f t="shared" si="25"/>
        <v>High</v>
      </c>
      <c r="K495" s="6">
        <f t="shared" si="26"/>
        <v>1</v>
      </c>
    </row>
    <row r="496" spans="1:11" x14ac:dyDescent="0.3">
      <c r="A496" t="s">
        <v>502</v>
      </c>
      <c r="B496">
        <v>60.000003814697273</v>
      </c>
      <c r="C496">
        <v>50</v>
      </c>
      <c r="D496">
        <v>110</v>
      </c>
      <c r="E496" t="s">
        <v>502</v>
      </c>
      <c r="F496">
        <v>48.137100219726563</v>
      </c>
      <c r="G496">
        <v>63.694877624511719</v>
      </c>
      <c r="H496">
        <v>111.8319778442383</v>
      </c>
      <c r="I496" s="5" t="str">
        <f t="shared" si="24"/>
        <v>High</v>
      </c>
      <c r="J496" s="5" t="str">
        <f t="shared" si="25"/>
        <v>High</v>
      </c>
      <c r="K496" s="6">
        <f t="shared" si="26"/>
        <v>1</v>
      </c>
    </row>
    <row r="497" spans="1:11" x14ac:dyDescent="0.3">
      <c r="A497" t="s">
        <v>503</v>
      </c>
      <c r="B497">
        <v>10</v>
      </c>
      <c r="C497">
        <v>10</v>
      </c>
      <c r="D497">
        <v>20</v>
      </c>
      <c r="E497" t="s">
        <v>503</v>
      </c>
      <c r="F497">
        <v>44.293033599853523</v>
      </c>
      <c r="G497">
        <v>58.318668365478523</v>
      </c>
      <c r="H497">
        <v>102.61170959472661</v>
      </c>
      <c r="I497" s="5" t="str">
        <f t="shared" si="24"/>
        <v>Low</v>
      </c>
      <c r="J497" s="5" t="str">
        <f t="shared" si="25"/>
        <v>High</v>
      </c>
      <c r="K497" s="6">
        <f t="shared" si="26"/>
        <v>0</v>
      </c>
    </row>
    <row r="498" spans="1:11" x14ac:dyDescent="0.3">
      <c r="A498" t="s">
        <v>504</v>
      </c>
      <c r="B498">
        <v>10</v>
      </c>
      <c r="C498">
        <v>10</v>
      </c>
      <c r="D498">
        <v>20</v>
      </c>
      <c r="E498" t="s">
        <v>504</v>
      </c>
      <c r="F498">
        <v>51.54412841796875</v>
      </c>
      <c r="G498">
        <v>68.88006591796875</v>
      </c>
      <c r="H498">
        <v>120.424201965332</v>
      </c>
      <c r="I498" s="5" t="str">
        <f t="shared" si="24"/>
        <v>Low</v>
      </c>
      <c r="J498" s="5" t="str">
        <f t="shared" si="25"/>
        <v>High</v>
      </c>
      <c r="K498" s="6">
        <f t="shared" si="26"/>
        <v>0</v>
      </c>
    </row>
    <row r="499" spans="1:11" x14ac:dyDescent="0.3">
      <c r="A499" t="s">
        <v>505</v>
      </c>
      <c r="B499">
        <v>10</v>
      </c>
      <c r="C499">
        <v>10</v>
      </c>
      <c r="D499">
        <v>20</v>
      </c>
      <c r="E499" t="s">
        <v>505</v>
      </c>
      <c r="F499">
        <v>54.443305969238281</v>
      </c>
      <c r="G499">
        <v>67.56256103515625</v>
      </c>
      <c r="H499">
        <v>122.0058670043945</v>
      </c>
      <c r="I499" s="5" t="str">
        <f t="shared" si="24"/>
        <v>Low</v>
      </c>
      <c r="J499" s="5" t="str">
        <f t="shared" si="25"/>
        <v>High</v>
      </c>
      <c r="K499" s="6">
        <f t="shared" si="26"/>
        <v>0</v>
      </c>
    </row>
    <row r="500" spans="1:11" x14ac:dyDescent="0.3">
      <c r="A500" t="s">
        <v>506</v>
      </c>
      <c r="B500">
        <v>10</v>
      </c>
      <c r="C500">
        <v>10</v>
      </c>
      <c r="D500">
        <v>20</v>
      </c>
      <c r="E500" t="s">
        <v>506</v>
      </c>
      <c r="F500">
        <v>40.441356658935547</v>
      </c>
      <c r="G500">
        <v>42.779731750488281</v>
      </c>
      <c r="H500">
        <v>83.221092224121094</v>
      </c>
      <c r="I500" s="5" t="str">
        <f t="shared" si="24"/>
        <v>Low</v>
      </c>
      <c r="J500" s="5" t="str">
        <f t="shared" si="25"/>
        <v>High</v>
      </c>
      <c r="K500" s="6">
        <f t="shared" si="26"/>
        <v>0</v>
      </c>
    </row>
    <row r="501" spans="1:11" x14ac:dyDescent="0.3">
      <c r="A501" t="s">
        <v>507</v>
      </c>
      <c r="B501">
        <v>10</v>
      </c>
      <c r="C501">
        <v>10</v>
      </c>
      <c r="D501">
        <v>20</v>
      </c>
      <c r="E501" t="s">
        <v>507</v>
      </c>
      <c r="F501">
        <v>36.894554138183587</v>
      </c>
      <c r="G501">
        <v>36.813430786132813</v>
      </c>
      <c r="H501">
        <v>73.707984924316406</v>
      </c>
      <c r="I501" s="5" t="str">
        <f t="shared" si="24"/>
        <v>Low</v>
      </c>
      <c r="J501" s="5" t="str">
        <f t="shared" si="25"/>
        <v>High</v>
      </c>
      <c r="K501" s="6">
        <f t="shared" si="26"/>
        <v>0</v>
      </c>
    </row>
    <row r="502" spans="1:11" x14ac:dyDescent="0.3">
      <c r="A502" t="s">
        <v>508</v>
      </c>
      <c r="B502">
        <v>10</v>
      </c>
      <c r="C502">
        <v>10</v>
      </c>
      <c r="D502">
        <v>20</v>
      </c>
      <c r="E502" t="s">
        <v>508</v>
      </c>
      <c r="F502">
        <v>35.824863433837891</v>
      </c>
      <c r="G502">
        <v>35.087116241455078</v>
      </c>
      <c r="H502">
        <v>70.911979675292969</v>
      </c>
      <c r="I502" s="5" t="str">
        <f t="shared" si="24"/>
        <v>Low</v>
      </c>
      <c r="J502" s="5" t="str">
        <f t="shared" si="25"/>
        <v>High</v>
      </c>
      <c r="K502" s="6">
        <f t="shared" si="26"/>
        <v>0</v>
      </c>
    </row>
    <row r="503" spans="1:11" x14ac:dyDescent="0.3">
      <c r="A503" t="s">
        <v>509</v>
      </c>
      <c r="B503">
        <v>10</v>
      </c>
      <c r="C503">
        <v>10</v>
      </c>
      <c r="D503">
        <v>20</v>
      </c>
      <c r="E503" t="s">
        <v>509</v>
      </c>
      <c r="F503">
        <v>38.350971221923828</v>
      </c>
      <c r="G503">
        <v>37.294918060302727</v>
      </c>
      <c r="H503">
        <v>75.645889282226563</v>
      </c>
      <c r="I503" s="5" t="str">
        <f t="shared" si="24"/>
        <v>Low</v>
      </c>
      <c r="J503" s="5" t="str">
        <f t="shared" si="25"/>
        <v>High</v>
      </c>
      <c r="K503" s="6">
        <f t="shared" si="26"/>
        <v>0</v>
      </c>
    </row>
    <row r="504" spans="1:11" x14ac:dyDescent="0.3">
      <c r="A504" t="s">
        <v>510</v>
      </c>
      <c r="B504">
        <v>10</v>
      </c>
      <c r="C504">
        <v>10</v>
      </c>
      <c r="D504">
        <v>20</v>
      </c>
      <c r="E504" t="s">
        <v>510</v>
      </c>
      <c r="F504">
        <v>39.220516204833977</v>
      </c>
      <c r="G504">
        <v>37.006355285644531</v>
      </c>
      <c r="H504">
        <v>76.226875305175781</v>
      </c>
      <c r="I504" s="5" t="str">
        <f t="shared" si="24"/>
        <v>Low</v>
      </c>
      <c r="J504" s="5" t="str">
        <f t="shared" si="25"/>
        <v>High</v>
      </c>
      <c r="K504" s="6">
        <f t="shared" si="26"/>
        <v>0</v>
      </c>
    </row>
    <row r="505" spans="1:11" x14ac:dyDescent="0.3">
      <c r="A505" t="s">
        <v>511</v>
      </c>
      <c r="B505">
        <v>10</v>
      </c>
      <c r="C505">
        <v>10</v>
      </c>
      <c r="D505">
        <v>20</v>
      </c>
      <c r="E505" t="s">
        <v>511</v>
      </c>
      <c r="F505">
        <v>39.700454711914063</v>
      </c>
      <c r="G505">
        <v>40.046062469482422</v>
      </c>
      <c r="H505">
        <v>79.74652099609375</v>
      </c>
      <c r="I505" s="5" t="str">
        <f t="shared" si="24"/>
        <v>Low</v>
      </c>
      <c r="J505" s="5" t="str">
        <f t="shared" si="25"/>
        <v>High</v>
      </c>
      <c r="K505" s="6">
        <f t="shared" si="26"/>
        <v>0</v>
      </c>
    </row>
    <row r="506" spans="1:11" x14ac:dyDescent="0.3">
      <c r="A506" t="s">
        <v>512</v>
      </c>
      <c r="B506">
        <v>10</v>
      </c>
      <c r="C506">
        <v>10</v>
      </c>
      <c r="D506">
        <v>20</v>
      </c>
      <c r="E506" t="s">
        <v>512</v>
      </c>
      <c r="F506">
        <v>46.546745300292969</v>
      </c>
      <c r="G506">
        <v>55.510723114013672</v>
      </c>
      <c r="H506">
        <v>102.05747222900391</v>
      </c>
      <c r="I506" s="5" t="str">
        <f t="shared" si="24"/>
        <v>Low</v>
      </c>
      <c r="J506" s="5" t="str">
        <f t="shared" si="25"/>
        <v>High</v>
      </c>
      <c r="K506" s="6">
        <f t="shared" si="26"/>
        <v>0</v>
      </c>
    </row>
    <row r="507" spans="1:11" x14ac:dyDescent="0.3">
      <c r="A507" t="s">
        <v>513</v>
      </c>
      <c r="B507">
        <v>10</v>
      </c>
      <c r="C507">
        <v>10</v>
      </c>
      <c r="D507">
        <v>20</v>
      </c>
      <c r="E507" t="s">
        <v>513</v>
      </c>
      <c r="F507">
        <v>43.044384002685547</v>
      </c>
      <c r="G507">
        <v>50.75</v>
      </c>
      <c r="H507">
        <v>93.794380187988281</v>
      </c>
      <c r="I507" s="5" t="str">
        <f t="shared" si="24"/>
        <v>Low</v>
      </c>
      <c r="J507" s="5" t="str">
        <f t="shared" si="25"/>
        <v>High</v>
      </c>
      <c r="K507" s="6">
        <f t="shared" si="26"/>
        <v>0</v>
      </c>
    </row>
    <row r="508" spans="1:11" x14ac:dyDescent="0.3">
      <c r="A508" t="s">
        <v>514</v>
      </c>
      <c r="B508">
        <v>10</v>
      </c>
      <c r="C508">
        <v>10</v>
      </c>
      <c r="D508">
        <v>20</v>
      </c>
      <c r="E508" t="s">
        <v>514</v>
      </c>
      <c r="F508">
        <v>39.270782470703118</v>
      </c>
      <c r="G508">
        <v>43.8890380859375</v>
      </c>
      <c r="H508">
        <v>83.159812927246094</v>
      </c>
      <c r="I508" s="5" t="str">
        <f t="shared" si="24"/>
        <v>Low</v>
      </c>
      <c r="J508" s="5" t="str">
        <f t="shared" si="25"/>
        <v>High</v>
      </c>
      <c r="K508" s="6">
        <f t="shared" si="26"/>
        <v>0</v>
      </c>
    </row>
    <row r="509" spans="1:11" x14ac:dyDescent="0.3">
      <c r="A509" t="s">
        <v>515</v>
      </c>
      <c r="B509">
        <v>10</v>
      </c>
      <c r="C509">
        <v>30.000001907348629</v>
      </c>
      <c r="D509">
        <v>40</v>
      </c>
      <c r="E509" t="s">
        <v>515</v>
      </c>
      <c r="F509">
        <v>39.268459320068359</v>
      </c>
      <c r="G509">
        <v>43.428646087646477</v>
      </c>
      <c r="H509">
        <v>82.697105407714844</v>
      </c>
      <c r="I509" s="5" t="str">
        <f t="shared" si="24"/>
        <v>Medium</v>
      </c>
      <c r="J509" s="5" t="str">
        <f t="shared" si="25"/>
        <v>High</v>
      </c>
      <c r="K509" s="6">
        <f t="shared" si="26"/>
        <v>0</v>
      </c>
    </row>
    <row r="510" spans="1:11" x14ac:dyDescent="0.3">
      <c r="A510" t="s">
        <v>516</v>
      </c>
      <c r="B510">
        <v>10</v>
      </c>
      <c r="C510">
        <v>30.000001907348629</v>
      </c>
      <c r="D510">
        <v>40</v>
      </c>
      <c r="E510" t="s">
        <v>516</v>
      </c>
      <c r="F510">
        <v>40.723957061767578</v>
      </c>
      <c r="G510">
        <v>38.165294647216797</v>
      </c>
      <c r="H510">
        <v>78.889251708984375</v>
      </c>
      <c r="I510" s="5" t="str">
        <f t="shared" si="24"/>
        <v>Medium</v>
      </c>
      <c r="J510" s="5" t="str">
        <f t="shared" si="25"/>
        <v>High</v>
      </c>
      <c r="K510" s="6">
        <f t="shared" si="26"/>
        <v>0</v>
      </c>
    </row>
    <row r="511" spans="1:11" x14ac:dyDescent="0.3">
      <c r="A511" t="s">
        <v>517</v>
      </c>
      <c r="B511">
        <v>10</v>
      </c>
      <c r="C511">
        <v>30.000001907348629</v>
      </c>
      <c r="D511">
        <v>40</v>
      </c>
      <c r="E511" t="s">
        <v>517</v>
      </c>
      <c r="F511">
        <v>43.365467071533203</v>
      </c>
      <c r="G511">
        <v>46.802455902099609</v>
      </c>
      <c r="H511">
        <v>90.167922973632813</v>
      </c>
      <c r="I511" s="5" t="str">
        <f t="shared" si="24"/>
        <v>Medium</v>
      </c>
      <c r="J511" s="5" t="str">
        <f t="shared" si="25"/>
        <v>High</v>
      </c>
      <c r="K511" s="6">
        <f t="shared" si="26"/>
        <v>0</v>
      </c>
    </row>
    <row r="512" spans="1:11" x14ac:dyDescent="0.3">
      <c r="A512" t="s">
        <v>518</v>
      </c>
      <c r="B512">
        <v>10</v>
      </c>
      <c r="C512">
        <v>30.000001907348629</v>
      </c>
      <c r="D512">
        <v>40</v>
      </c>
      <c r="E512" t="s">
        <v>518</v>
      </c>
      <c r="F512">
        <v>47.388710021972663</v>
      </c>
      <c r="G512">
        <v>41.1429443359375</v>
      </c>
      <c r="H512">
        <v>88.531646728515625</v>
      </c>
      <c r="I512" s="5" t="str">
        <f t="shared" si="24"/>
        <v>Medium</v>
      </c>
      <c r="J512" s="5" t="str">
        <f t="shared" si="25"/>
        <v>High</v>
      </c>
      <c r="K512" s="6">
        <f t="shared" si="26"/>
        <v>0</v>
      </c>
    </row>
    <row r="513" spans="1:11" x14ac:dyDescent="0.3">
      <c r="A513" t="s">
        <v>519</v>
      </c>
      <c r="B513">
        <v>10</v>
      </c>
      <c r="C513">
        <v>30.000001907348629</v>
      </c>
      <c r="D513">
        <v>40</v>
      </c>
      <c r="E513" t="s">
        <v>519</v>
      </c>
      <c r="F513">
        <v>51.549160003662109</v>
      </c>
      <c r="G513">
        <v>43.617755889892578</v>
      </c>
      <c r="H513">
        <v>95.166915893554688</v>
      </c>
      <c r="I513" s="5" t="str">
        <f t="shared" si="24"/>
        <v>Medium</v>
      </c>
      <c r="J513" s="5" t="str">
        <f t="shared" si="25"/>
        <v>High</v>
      </c>
      <c r="K513" s="6">
        <f t="shared" si="26"/>
        <v>0</v>
      </c>
    </row>
    <row r="514" spans="1:11" x14ac:dyDescent="0.3">
      <c r="A514" t="s">
        <v>520</v>
      </c>
      <c r="B514">
        <v>10</v>
      </c>
      <c r="C514">
        <v>30.000001907348629</v>
      </c>
      <c r="D514">
        <v>40</v>
      </c>
      <c r="E514" t="s">
        <v>520</v>
      </c>
      <c r="F514">
        <v>48.063396453857422</v>
      </c>
      <c r="G514">
        <v>41.940624237060547</v>
      </c>
      <c r="H514">
        <v>90.004020690917969</v>
      </c>
      <c r="I514" s="5" t="str">
        <f t="shared" si="24"/>
        <v>Medium</v>
      </c>
      <c r="J514" s="5" t="str">
        <f t="shared" si="25"/>
        <v>High</v>
      </c>
      <c r="K514" s="6">
        <f t="shared" si="26"/>
        <v>0</v>
      </c>
    </row>
    <row r="515" spans="1:11" x14ac:dyDescent="0.3">
      <c r="A515" t="s">
        <v>521</v>
      </c>
      <c r="B515">
        <v>20</v>
      </c>
      <c r="C515">
        <v>30.000001907348629</v>
      </c>
      <c r="D515">
        <v>50</v>
      </c>
      <c r="E515" t="s">
        <v>521</v>
      </c>
      <c r="F515">
        <v>42.065780639648438</v>
      </c>
      <c r="G515">
        <v>43.014671325683587</v>
      </c>
      <c r="H515">
        <v>85.080451965332031</v>
      </c>
      <c r="I515" s="5" t="str">
        <f t="shared" si="24"/>
        <v>Medium</v>
      </c>
      <c r="J515" s="5" t="str">
        <f t="shared" si="25"/>
        <v>High</v>
      </c>
      <c r="K515" s="6">
        <f t="shared" si="26"/>
        <v>0</v>
      </c>
    </row>
    <row r="516" spans="1:11" x14ac:dyDescent="0.3">
      <c r="A516" t="s">
        <v>522</v>
      </c>
      <c r="B516">
        <v>20</v>
      </c>
      <c r="C516">
        <v>30.000001907348629</v>
      </c>
      <c r="D516">
        <v>50</v>
      </c>
      <c r="E516" t="s">
        <v>522</v>
      </c>
      <c r="F516">
        <v>39.441249847412109</v>
      </c>
      <c r="G516">
        <v>38.868183135986328</v>
      </c>
      <c r="H516">
        <v>78.309425354003906</v>
      </c>
      <c r="I516" s="5" t="str">
        <f t="shared" si="24"/>
        <v>Medium</v>
      </c>
      <c r="J516" s="5" t="str">
        <f t="shared" si="25"/>
        <v>High</v>
      </c>
      <c r="K516" s="6">
        <f t="shared" si="26"/>
        <v>1</v>
      </c>
    </row>
    <row r="517" spans="1:11" x14ac:dyDescent="0.3">
      <c r="A517" t="s">
        <v>523</v>
      </c>
      <c r="B517">
        <v>20</v>
      </c>
      <c r="C517">
        <v>30.000001907348629</v>
      </c>
      <c r="D517">
        <v>50</v>
      </c>
      <c r="E517" t="s">
        <v>523</v>
      </c>
      <c r="F517">
        <v>49.616081237792969</v>
      </c>
      <c r="G517">
        <v>41.589389801025391</v>
      </c>
      <c r="H517">
        <v>91.205474853515625</v>
      </c>
      <c r="I517" s="5" t="str">
        <f t="shared" ref="I517:I580" si="27" xml:space="preserve"> IF(D517 &lt;= 39, "Low",
               IF(D517 &lt;= 69, "Medium", "High"))</f>
        <v>Medium</v>
      </c>
      <c r="J517" s="5" t="str">
        <f t="shared" ref="J517:J580" si="28" xml:space="preserve"> IF(H517 &lt;= 39, "Low",
               IF(H517 &lt;= 69, "Medium", "High"))</f>
        <v>High</v>
      </c>
      <c r="K517" s="6">
        <f t="shared" ref="K517:K580" si="29" xml:space="preserve"> IF(ABS(D517 - H517) &lt;= 30, 1, 0)</f>
        <v>0</v>
      </c>
    </row>
    <row r="518" spans="1:11" x14ac:dyDescent="0.3">
      <c r="A518" t="s">
        <v>524</v>
      </c>
      <c r="B518">
        <v>20</v>
      </c>
      <c r="C518">
        <v>30.000001907348629</v>
      </c>
      <c r="D518">
        <v>50</v>
      </c>
      <c r="E518" t="s">
        <v>524</v>
      </c>
      <c r="F518">
        <v>49.113552093505859</v>
      </c>
      <c r="G518">
        <v>64.653709411621094</v>
      </c>
      <c r="H518">
        <v>113.7672653198242</v>
      </c>
      <c r="I518" s="5" t="str">
        <f t="shared" si="27"/>
        <v>Medium</v>
      </c>
      <c r="J518" s="5" t="str">
        <f t="shared" si="28"/>
        <v>High</v>
      </c>
      <c r="K518" s="6">
        <f t="shared" si="29"/>
        <v>0</v>
      </c>
    </row>
    <row r="519" spans="1:11" x14ac:dyDescent="0.3">
      <c r="A519" t="s">
        <v>525</v>
      </c>
      <c r="B519">
        <v>20</v>
      </c>
      <c r="C519">
        <v>30.000001907348629</v>
      </c>
      <c r="D519">
        <v>50</v>
      </c>
      <c r="E519" t="s">
        <v>525</v>
      </c>
      <c r="F519">
        <v>53.777633666992188</v>
      </c>
      <c r="G519">
        <v>74.13671875</v>
      </c>
      <c r="H519">
        <v>127.9143600463867</v>
      </c>
      <c r="I519" s="5" t="str">
        <f t="shared" si="27"/>
        <v>Medium</v>
      </c>
      <c r="J519" s="5" t="str">
        <f t="shared" si="28"/>
        <v>High</v>
      </c>
      <c r="K519" s="6">
        <f t="shared" si="29"/>
        <v>0</v>
      </c>
    </row>
    <row r="520" spans="1:11" x14ac:dyDescent="0.3">
      <c r="A520" t="s">
        <v>526</v>
      </c>
      <c r="B520">
        <v>20</v>
      </c>
      <c r="C520">
        <v>30.000001907348629</v>
      </c>
      <c r="D520">
        <v>50</v>
      </c>
      <c r="E520" t="s">
        <v>526</v>
      </c>
      <c r="F520">
        <v>44.965496063232422</v>
      </c>
      <c r="G520">
        <v>59.387516021728523</v>
      </c>
      <c r="H520">
        <v>104.35301208496089</v>
      </c>
      <c r="I520" s="5" t="str">
        <f t="shared" si="27"/>
        <v>Medium</v>
      </c>
      <c r="J520" s="5" t="str">
        <f t="shared" si="28"/>
        <v>High</v>
      </c>
      <c r="K520" s="6">
        <f t="shared" si="29"/>
        <v>0</v>
      </c>
    </row>
    <row r="521" spans="1:11" x14ac:dyDescent="0.3">
      <c r="A521" t="s">
        <v>527</v>
      </c>
      <c r="B521">
        <v>10</v>
      </c>
      <c r="C521">
        <v>10</v>
      </c>
      <c r="D521">
        <v>20</v>
      </c>
      <c r="E521" t="s">
        <v>527</v>
      </c>
      <c r="F521">
        <v>44.829795837402337</v>
      </c>
      <c r="G521">
        <v>61.192832946777337</v>
      </c>
      <c r="H521">
        <v>106.0226287841797</v>
      </c>
      <c r="I521" s="5" t="str">
        <f t="shared" si="27"/>
        <v>Low</v>
      </c>
      <c r="J521" s="5" t="str">
        <f t="shared" si="28"/>
        <v>High</v>
      </c>
      <c r="K521" s="6">
        <f t="shared" si="29"/>
        <v>0</v>
      </c>
    </row>
    <row r="522" spans="1:11" x14ac:dyDescent="0.3">
      <c r="A522" t="s">
        <v>528</v>
      </c>
      <c r="B522">
        <v>10</v>
      </c>
      <c r="C522">
        <v>10</v>
      </c>
      <c r="D522">
        <v>20</v>
      </c>
      <c r="E522" t="s">
        <v>528</v>
      </c>
      <c r="F522">
        <v>43.777439117431641</v>
      </c>
      <c r="G522">
        <v>58.936607360839837</v>
      </c>
      <c r="H522">
        <v>102.71405029296881</v>
      </c>
      <c r="I522" s="5" t="str">
        <f t="shared" si="27"/>
        <v>Low</v>
      </c>
      <c r="J522" s="5" t="str">
        <f t="shared" si="28"/>
        <v>High</v>
      </c>
      <c r="K522" s="6">
        <f t="shared" si="29"/>
        <v>0</v>
      </c>
    </row>
    <row r="523" spans="1:11" x14ac:dyDescent="0.3">
      <c r="A523" t="s">
        <v>529</v>
      </c>
      <c r="B523">
        <v>10</v>
      </c>
      <c r="C523">
        <v>10</v>
      </c>
      <c r="D523">
        <v>20</v>
      </c>
      <c r="E523" t="s">
        <v>529</v>
      </c>
      <c r="F523">
        <v>48.236896514892578</v>
      </c>
      <c r="G523">
        <v>68.138534545898438</v>
      </c>
      <c r="H523">
        <v>116.3754348754883</v>
      </c>
      <c r="I523" s="5" t="str">
        <f t="shared" si="27"/>
        <v>Low</v>
      </c>
      <c r="J523" s="5" t="str">
        <f t="shared" si="28"/>
        <v>High</v>
      </c>
      <c r="K523" s="6">
        <f t="shared" si="29"/>
        <v>0</v>
      </c>
    </row>
    <row r="524" spans="1:11" x14ac:dyDescent="0.3">
      <c r="A524" t="s">
        <v>530</v>
      </c>
      <c r="B524">
        <v>10</v>
      </c>
      <c r="C524">
        <v>10</v>
      </c>
      <c r="D524">
        <v>20</v>
      </c>
      <c r="E524" t="s">
        <v>530</v>
      </c>
      <c r="F524">
        <v>40.230964660644531</v>
      </c>
      <c r="G524">
        <v>49.096675872802727</v>
      </c>
      <c r="H524">
        <v>89.327644348144531</v>
      </c>
      <c r="I524" s="5" t="str">
        <f t="shared" si="27"/>
        <v>Low</v>
      </c>
      <c r="J524" s="5" t="str">
        <f t="shared" si="28"/>
        <v>High</v>
      </c>
      <c r="K524" s="6">
        <f t="shared" si="29"/>
        <v>0</v>
      </c>
    </row>
    <row r="525" spans="1:11" x14ac:dyDescent="0.3">
      <c r="A525" t="s">
        <v>531</v>
      </c>
      <c r="B525">
        <v>10</v>
      </c>
      <c r="C525">
        <v>10</v>
      </c>
      <c r="D525">
        <v>20</v>
      </c>
      <c r="E525" t="s">
        <v>531</v>
      </c>
      <c r="F525">
        <v>42.199527740478523</v>
      </c>
      <c r="G525">
        <v>53.793365478515618</v>
      </c>
      <c r="H525">
        <v>95.992889404296875</v>
      </c>
      <c r="I525" s="5" t="str">
        <f t="shared" si="27"/>
        <v>Low</v>
      </c>
      <c r="J525" s="5" t="str">
        <f t="shared" si="28"/>
        <v>High</v>
      </c>
      <c r="K525" s="6">
        <f t="shared" si="29"/>
        <v>0</v>
      </c>
    </row>
    <row r="526" spans="1:11" x14ac:dyDescent="0.3">
      <c r="A526" t="s">
        <v>532</v>
      </c>
      <c r="B526">
        <v>10</v>
      </c>
      <c r="C526">
        <v>10</v>
      </c>
      <c r="D526">
        <v>20</v>
      </c>
      <c r="E526" t="s">
        <v>532</v>
      </c>
      <c r="F526">
        <v>39.676223754882813</v>
      </c>
      <c r="G526">
        <v>50.862895965576172</v>
      </c>
      <c r="H526">
        <v>90.53912353515625</v>
      </c>
      <c r="I526" s="5" t="str">
        <f t="shared" si="27"/>
        <v>Low</v>
      </c>
      <c r="J526" s="5" t="str">
        <f t="shared" si="28"/>
        <v>High</v>
      </c>
      <c r="K526" s="6">
        <f t="shared" si="29"/>
        <v>0</v>
      </c>
    </row>
    <row r="527" spans="1:11" x14ac:dyDescent="0.3">
      <c r="A527" t="s">
        <v>533</v>
      </c>
      <c r="B527">
        <v>60.000003814697273</v>
      </c>
      <c r="C527">
        <v>20</v>
      </c>
      <c r="D527">
        <v>80</v>
      </c>
      <c r="E527" t="s">
        <v>533</v>
      </c>
      <c r="F527">
        <v>37.614887237548828</v>
      </c>
      <c r="G527">
        <v>47.120155334472663</v>
      </c>
      <c r="H527">
        <v>84.73504638671875</v>
      </c>
      <c r="I527" s="5" t="str">
        <f t="shared" si="27"/>
        <v>High</v>
      </c>
      <c r="J527" s="5" t="str">
        <f t="shared" si="28"/>
        <v>High</v>
      </c>
      <c r="K527" s="6">
        <f t="shared" si="29"/>
        <v>1</v>
      </c>
    </row>
    <row r="528" spans="1:11" x14ac:dyDescent="0.3">
      <c r="A528" t="s">
        <v>534</v>
      </c>
      <c r="B528">
        <v>60.000003814697273</v>
      </c>
      <c r="C528">
        <v>20</v>
      </c>
      <c r="D528">
        <v>80</v>
      </c>
      <c r="E528" t="s">
        <v>534</v>
      </c>
      <c r="F528">
        <v>40.295322418212891</v>
      </c>
      <c r="G528">
        <v>49.322406768798828</v>
      </c>
      <c r="H528">
        <v>89.617729187011719</v>
      </c>
      <c r="I528" s="5" t="str">
        <f t="shared" si="27"/>
        <v>High</v>
      </c>
      <c r="J528" s="5" t="str">
        <f t="shared" si="28"/>
        <v>High</v>
      </c>
      <c r="K528" s="6">
        <f t="shared" si="29"/>
        <v>1</v>
      </c>
    </row>
    <row r="529" spans="1:11" x14ac:dyDescent="0.3">
      <c r="A529" t="s">
        <v>535</v>
      </c>
      <c r="B529">
        <v>60.000003814697273</v>
      </c>
      <c r="C529">
        <v>20</v>
      </c>
      <c r="D529">
        <v>80</v>
      </c>
      <c r="E529" t="s">
        <v>535</v>
      </c>
      <c r="F529">
        <v>37.844993591308587</v>
      </c>
      <c r="G529">
        <v>46.950851440429688</v>
      </c>
      <c r="H529">
        <v>84.795845031738281</v>
      </c>
      <c r="I529" s="5" t="str">
        <f t="shared" si="27"/>
        <v>High</v>
      </c>
      <c r="J529" s="5" t="str">
        <f t="shared" si="28"/>
        <v>High</v>
      </c>
      <c r="K529" s="6">
        <f t="shared" si="29"/>
        <v>1</v>
      </c>
    </row>
    <row r="530" spans="1:11" x14ac:dyDescent="0.3">
      <c r="A530" t="s">
        <v>536</v>
      </c>
      <c r="B530">
        <v>60.000003814697273</v>
      </c>
      <c r="C530">
        <v>20</v>
      </c>
      <c r="D530">
        <v>80</v>
      </c>
      <c r="E530" t="s">
        <v>536</v>
      </c>
      <c r="F530">
        <v>42.380897521972663</v>
      </c>
      <c r="G530">
        <v>44.981887817382813</v>
      </c>
      <c r="H530">
        <v>87.362785339355469</v>
      </c>
      <c r="I530" s="5" t="str">
        <f t="shared" si="27"/>
        <v>High</v>
      </c>
      <c r="J530" s="5" t="str">
        <f t="shared" si="28"/>
        <v>High</v>
      </c>
      <c r="K530" s="6">
        <f t="shared" si="29"/>
        <v>1</v>
      </c>
    </row>
    <row r="531" spans="1:11" x14ac:dyDescent="0.3">
      <c r="A531" t="s">
        <v>537</v>
      </c>
      <c r="B531">
        <v>60.000003814697273</v>
      </c>
      <c r="C531">
        <v>20</v>
      </c>
      <c r="D531">
        <v>80</v>
      </c>
      <c r="E531" t="s">
        <v>537</v>
      </c>
      <c r="F531">
        <v>41.193153381347663</v>
      </c>
      <c r="G531">
        <v>39.984340667724609</v>
      </c>
      <c r="H531">
        <v>81.177497863769531</v>
      </c>
      <c r="I531" s="5" t="str">
        <f t="shared" si="27"/>
        <v>High</v>
      </c>
      <c r="J531" s="5" t="str">
        <f t="shared" si="28"/>
        <v>High</v>
      </c>
      <c r="K531" s="6">
        <f t="shared" si="29"/>
        <v>1</v>
      </c>
    </row>
    <row r="532" spans="1:11" x14ac:dyDescent="0.3">
      <c r="A532" t="s">
        <v>538</v>
      </c>
      <c r="B532">
        <v>60.000003814697273</v>
      </c>
      <c r="C532">
        <v>20</v>
      </c>
      <c r="D532">
        <v>80</v>
      </c>
      <c r="E532" t="s">
        <v>538</v>
      </c>
      <c r="F532">
        <v>39.648361206054688</v>
      </c>
      <c r="G532">
        <v>40.648101806640618</v>
      </c>
      <c r="H532">
        <v>80.296463012695313</v>
      </c>
      <c r="I532" s="5" t="str">
        <f t="shared" si="27"/>
        <v>High</v>
      </c>
      <c r="J532" s="5" t="str">
        <f t="shared" si="28"/>
        <v>High</v>
      </c>
      <c r="K532" s="6">
        <f t="shared" si="29"/>
        <v>1</v>
      </c>
    </row>
    <row r="533" spans="1:11" x14ac:dyDescent="0.3">
      <c r="A533" t="s">
        <v>539</v>
      </c>
      <c r="B533">
        <v>10</v>
      </c>
      <c r="C533">
        <v>30.000001907348629</v>
      </c>
      <c r="D533">
        <v>40</v>
      </c>
      <c r="E533" t="s">
        <v>539</v>
      </c>
      <c r="F533">
        <v>40.110870361328118</v>
      </c>
      <c r="G533">
        <v>38.383773803710938</v>
      </c>
      <c r="H533">
        <v>78.494644165039063</v>
      </c>
      <c r="I533" s="5" t="str">
        <f t="shared" si="27"/>
        <v>Medium</v>
      </c>
      <c r="J533" s="5" t="str">
        <f t="shared" si="28"/>
        <v>High</v>
      </c>
      <c r="K533" s="6">
        <f t="shared" si="29"/>
        <v>0</v>
      </c>
    </row>
    <row r="534" spans="1:11" x14ac:dyDescent="0.3">
      <c r="A534" t="s">
        <v>540</v>
      </c>
      <c r="B534">
        <v>10</v>
      </c>
      <c r="C534">
        <v>30.000001907348629</v>
      </c>
      <c r="D534">
        <v>40</v>
      </c>
      <c r="E534" t="s">
        <v>540</v>
      </c>
      <c r="F534">
        <v>41.091567993164063</v>
      </c>
      <c r="G534">
        <v>47.500457763671882</v>
      </c>
      <c r="H534">
        <v>88.592025756835938</v>
      </c>
      <c r="I534" s="5" t="str">
        <f t="shared" si="27"/>
        <v>Medium</v>
      </c>
      <c r="J534" s="5" t="str">
        <f t="shared" si="28"/>
        <v>High</v>
      </c>
      <c r="K534" s="6">
        <f t="shared" si="29"/>
        <v>0</v>
      </c>
    </row>
    <row r="535" spans="1:11" x14ac:dyDescent="0.3">
      <c r="A535" t="s">
        <v>541</v>
      </c>
      <c r="B535">
        <v>10</v>
      </c>
      <c r="C535">
        <v>30.000001907348629</v>
      </c>
      <c r="D535">
        <v>40</v>
      </c>
      <c r="E535" t="s">
        <v>541</v>
      </c>
      <c r="F535">
        <v>39.172813415527337</v>
      </c>
      <c r="G535">
        <v>41.298042297363281</v>
      </c>
      <c r="H535">
        <v>80.470855712890625</v>
      </c>
      <c r="I535" s="5" t="str">
        <f t="shared" si="27"/>
        <v>Medium</v>
      </c>
      <c r="J535" s="5" t="str">
        <f t="shared" si="28"/>
        <v>High</v>
      </c>
      <c r="K535" s="6">
        <f t="shared" si="29"/>
        <v>0</v>
      </c>
    </row>
    <row r="536" spans="1:11" x14ac:dyDescent="0.3">
      <c r="A536" t="s">
        <v>542</v>
      </c>
      <c r="B536">
        <v>10</v>
      </c>
      <c r="C536">
        <v>30.000001907348629</v>
      </c>
      <c r="D536">
        <v>40</v>
      </c>
      <c r="E536" t="s">
        <v>542</v>
      </c>
      <c r="F536">
        <v>40.945831298828118</v>
      </c>
      <c r="G536">
        <v>43.731307983398438</v>
      </c>
      <c r="H536">
        <v>84.677139282226563</v>
      </c>
      <c r="I536" s="5" t="str">
        <f t="shared" si="27"/>
        <v>Medium</v>
      </c>
      <c r="J536" s="5" t="str">
        <f t="shared" si="28"/>
        <v>High</v>
      </c>
      <c r="K536" s="6">
        <f t="shared" si="29"/>
        <v>0</v>
      </c>
    </row>
    <row r="537" spans="1:11" x14ac:dyDescent="0.3">
      <c r="A537" t="s">
        <v>543</v>
      </c>
      <c r="B537">
        <v>10</v>
      </c>
      <c r="C537">
        <v>30.000001907348629</v>
      </c>
      <c r="D537">
        <v>40</v>
      </c>
      <c r="E537" t="s">
        <v>543</v>
      </c>
      <c r="F537">
        <v>36.441486358642578</v>
      </c>
      <c r="G537">
        <v>39.987335205078118</v>
      </c>
      <c r="H537">
        <v>76.428817749023438</v>
      </c>
      <c r="I537" s="5" t="str">
        <f t="shared" si="27"/>
        <v>Medium</v>
      </c>
      <c r="J537" s="5" t="str">
        <f t="shared" si="28"/>
        <v>High</v>
      </c>
      <c r="K537" s="6">
        <f t="shared" si="29"/>
        <v>0</v>
      </c>
    </row>
    <row r="538" spans="1:11" x14ac:dyDescent="0.3">
      <c r="A538" t="s">
        <v>544</v>
      </c>
      <c r="B538">
        <v>10</v>
      </c>
      <c r="C538">
        <v>30.000001907348629</v>
      </c>
      <c r="D538">
        <v>40</v>
      </c>
      <c r="E538" t="s">
        <v>544</v>
      </c>
      <c r="F538">
        <v>37.567237854003913</v>
      </c>
      <c r="G538">
        <v>44.441596984863281</v>
      </c>
      <c r="H538">
        <v>82.008834838867188</v>
      </c>
      <c r="I538" s="5" t="str">
        <f t="shared" si="27"/>
        <v>Medium</v>
      </c>
      <c r="J538" s="5" t="str">
        <f t="shared" si="28"/>
        <v>High</v>
      </c>
      <c r="K538" s="6">
        <f t="shared" si="29"/>
        <v>0</v>
      </c>
    </row>
    <row r="539" spans="1:11" x14ac:dyDescent="0.3">
      <c r="A539" t="s">
        <v>545</v>
      </c>
      <c r="B539">
        <v>10</v>
      </c>
      <c r="C539">
        <v>10</v>
      </c>
      <c r="D539">
        <v>20</v>
      </c>
      <c r="E539" t="s">
        <v>545</v>
      </c>
      <c r="F539">
        <v>34.745986938476563</v>
      </c>
      <c r="G539">
        <v>43.316612243652337</v>
      </c>
      <c r="H539">
        <v>78.062591552734375</v>
      </c>
      <c r="I539" s="5" t="str">
        <f t="shared" si="27"/>
        <v>Low</v>
      </c>
      <c r="J539" s="5" t="str">
        <f t="shared" si="28"/>
        <v>High</v>
      </c>
      <c r="K539" s="6">
        <f t="shared" si="29"/>
        <v>0</v>
      </c>
    </row>
    <row r="540" spans="1:11" x14ac:dyDescent="0.3">
      <c r="A540" t="s">
        <v>546</v>
      </c>
      <c r="B540">
        <v>10</v>
      </c>
      <c r="C540">
        <v>10</v>
      </c>
      <c r="D540">
        <v>20</v>
      </c>
      <c r="E540" t="s">
        <v>546</v>
      </c>
      <c r="F540">
        <v>34.935527801513672</v>
      </c>
      <c r="G540">
        <v>37.118427276611328</v>
      </c>
      <c r="H540">
        <v>72.053955078125</v>
      </c>
      <c r="I540" s="5" t="str">
        <f t="shared" si="27"/>
        <v>Low</v>
      </c>
      <c r="J540" s="5" t="str">
        <f t="shared" si="28"/>
        <v>High</v>
      </c>
      <c r="K540" s="6">
        <f t="shared" si="29"/>
        <v>0</v>
      </c>
    </row>
    <row r="541" spans="1:11" x14ac:dyDescent="0.3">
      <c r="A541" t="s">
        <v>547</v>
      </c>
      <c r="B541">
        <v>10</v>
      </c>
      <c r="C541">
        <v>10</v>
      </c>
      <c r="D541">
        <v>20</v>
      </c>
      <c r="E541" t="s">
        <v>547</v>
      </c>
      <c r="F541">
        <v>42.202205657958977</v>
      </c>
      <c r="G541">
        <v>46.918643951416023</v>
      </c>
      <c r="H541">
        <v>89.120849609375</v>
      </c>
      <c r="I541" s="5" t="str">
        <f t="shared" si="27"/>
        <v>Low</v>
      </c>
      <c r="J541" s="5" t="str">
        <f t="shared" si="28"/>
        <v>High</v>
      </c>
      <c r="K541" s="6">
        <f t="shared" si="29"/>
        <v>0</v>
      </c>
    </row>
    <row r="542" spans="1:11" x14ac:dyDescent="0.3">
      <c r="A542" t="s">
        <v>548</v>
      </c>
      <c r="B542">
        <v>10</v>
      </c>
      <c r="C542">
        <v>10</v>
      </c>
      <c r="D542">
        <v>20</v>
      </c>
      <c r="E542" t="s">
        <v>548</v>
      </c>
      <c r="F542">
        <v>41.384906768798828</v>
      </c>
      <c r="G542">
        <v>33.159641265869141</v>
      </c>
      <c r="H542">
        <v>74.544548034667969</v>
      </c>
      <c r="I542" s="5" t="str">
        <f t="shared" si="27"/>
        <v>Low</v>
      </c>
      <c r="J542" s="5" t="str">
        <f t="shared" si="28"/>
        <v>High</v>
      </c>
      <c r="K542" s="6">
        <f t="shared" si="29"/>
        <v>0</v>
      </c>
    </row>
    <row r="543" spans="1:11" x14ac:dyDescent="0.3">
      <c r="A543" t="s">
        <v>549</v>
      </c>
      <c r="B543">
        <v>10</v>
      </c>
      <c r="C543">
        <v>10</v>
      </c>
      <c r="D543">
        <v>20</v>
      </c>
      <c r="E543" t="s">
        <v>549</v>
      </c>
      <c r="F543">
        <v>40.762565612792969</v>
      </c>
      <c r="G543">
        <v>51.10162353515625</v>
      </c>
      <c r="H543">
        <v>91.864189147949219</v>
      </c>
      <c r="I543" s="5" t="str">
        <f t="shared" si="27"/>
        <v>Low</v>
      </c>
      <c r="J543" s="5" t="str">
        <f t="shared" si="28"/>
        <v>High</v>
      </c>
      <c r="K543" s="6">
        <f t="shared" si="29"/>
        <v>0</v>
      </c>
    </row>
    <row r="544" spans="1:11" x14ac:dyDescent="0.3">
      <c r="A544" t="s">
        <v>550</v>
      </c>
      <c r="B544">
        <v>10</v>
      </c>
      <c r="C544">
        <v>10</v>
      </c>
      <c r="D544">
        <v>20</v>
      </c>
      <c r="E544" t="s">
        <v>550</v>
      </c>
      <c r="F544">
        <v>40.694126129150391</v>
      </c>
      <c r="G544">
        <v>34.833587646484382</v>
      </c>
      <c r="H544">
        <v>75.527717590332031</v>
      </c>
      <c r="I544" s="5" t="str">
        <f t="shared" si="27"/>
        <v>Low</v>
      </c>
      <c r="J544" s="5" t="str">
        <f t="shared" si="28"/>
        <v>High</v>
      </c>
      <c r="K544" s="6">
        <f t="shared" si="29"/>
        <v>0</v>
      </c>
    </row>
    <row r="545" spans="1:11" x14ac:dyDescent="0.3">
      <c r="A545" t="s">
        <v>551</v>
      </c>
      <c r="B545">
        <v>10</v>
      </c>
      <c r="C545">
        <v>30.000001907348629</v>
      </c>
      <c r="D545">
        <v>40</v>
      </c>
      <c r="E545" t="s">
        <v>551</v>
      </c>
      <c r="F545">
        <v>38.898761749267578</v>
      </c>
      <c r="G545">
        <v>35.736129760742188</v>
      </c>
      <c r="H545">
        <v>74.634895324707031</v>
      </c>
      <c r="I545" s="5" t="str">
        <f t="shared" si="27"/>
        <v>Medium</v>
      </c>
      <c r="J545" s="5" t="str">
        <f t="shared" si="28"/>
        <v>High</v>
      </c>
      <c r="K545" s="6">
        <f t="shared" si="29"/>
        <v>0</v>
      </c>
    </row>
    <row r="546" spans="1:11" x14ac:dyDescent="0.3">
      <c r="A546" t="s">
        <v>552</v>
      </c>
      <c r="B546">
        <v>10</v>
      </c>
      <c r="C546">
        <v>30.000001907348629</v>
      </c>
      <c r="D546">
        <v>40</v>
      </c>
      <c r="E546" t="s">
        <v>552</v>
      </c>
      <c r="F546">
        <v>37.494640350341797</v>
      </c>
      <c r="G546">
        <v>35.083271026611328</v>
      </c>
      <c r="H546">
        <v>72.577911376953125</v>
      </c>
      <c r="I546" s="5" t="str">
        <f t="shared" si="27"/>
        <v>Medium</v>
      </c>
      <c r="J546" s="5" t="str">
        <f t="shared" si="28"/>
        <v>High</v>
      </c>
      <c r="K546" s="6">
        <f t="shared" si="29"/>
        <v>0</v>
      </c>
    </row>
    <row r="547" spans="1:11" x14ac:dyDescent="0.3">
      <c r="A547" t="s">
        <v>553</v>
      </c>
      <c r="B547">
        <v>10</v>
      </c>
      <c r="C547">
        <v>30.000001907348629</v>
      </c>
      <c r="D547">
        <v>40</v>
      </c>
      <c r="E547" t="s">
        <v>553</v>
      </c>
      <c r="F547">
        <v>38.300220489501953</v>
      </c>
      <c r="G547">
        <v>34.676475524902337</v>
      </c>
      <c r="H547">
        <v>72.976699829101563</v>
      </c>
      <c r="I547" s="5" t="str">
        <f t="shared" si="27"/>
        <v>Medium</v>
      </c>
      <c r="J547" s="5" t="str">
        <f t="shared" si="28"/>
        <v>High</v>
      </c>
      <c r="K547" s="6">
        <f t="shared" si="29"/>
        <v>0</v>
      </c>
    </row>
    <row r="548" spans="1:11" x14ac:dyDescent="0.3">
      <c r="A548" t="s">
        <v>554</v>
      </c>
      <c r="B548">
        <v>10</v>
      </c>
      <c r="C548">
        <v>30.000001907348629</v>
      </c>
      <c r="D548">
        <v>40</v>
      </c>
      <c r="E548" t="s">
        <v>554</v>
      </c>
      <c r="F548">
        <v>34.856399536132813</v>
      </c>
      <c r="G548">
        <v>37.525157928466797</v>
      </c>
      <c r="H548">
        <v>72.381553649902344</v>
      </c>
      <c r="I548" s="5" t="str">
        <f t="shared" si="27"/>
        <v>Medium</v>
      </c>
      <c r="J548" s="5" t="str">
        <f t="shared" si="28"/>
        <v>High</v>
      </c>
      <c r="K548" s="6">
        <f t="shared" si="29"/>
        <v>0</v>
      </c>
    </row>
    <row r="549" spans="1:11" x14ac:dyDescent="0.3">
      <c r="A549" t="s">
        <v>555</v>
      </c>
      <c r="B549">
        <v>10</v>
      </c>
      <c r="C549">
        <v>30.000001907348629</v>
      </c>
      <c r="D549">
        <v>40</v>
      </c>
      <c r="E549" t="s">
        <v>555</v>
      </c>
      <c r="F549">
        <v>34.9193115234375</v>
      </c>
      <c r="G549">
        <v>41.875453948974609</v>
      </c>
      <c r="H549">
        <v>76.794769287109375</v>
      </c>
      <c r="I549" s="5" t="str">
        <f t="shared" si="27"/>
        <v>Medium</v>
      </c>
      <c r="J549" s="5" t="str">
        <f t="shared" si="28"/>
        <v>High</v>
      </c>
      <c r="K549" s="6">
        <f t="shared" si="29"/>
        <v>0</v>
      </c>
    </row>
    <row r="550" spans="1:11" x14ac:dyDescent="0.3">
      <c r="A550" t="s">
        <v>556</v>
      </c>
      <c r="B550">
        <v>10</v>
      </c>
      <c r="C550">
        <v>30.000001907348629</v>
      </c>
      <c r="D550">
        <v>40</v>
      </c>
      <c r="E550" t="s">
        <v>556</v>
      </c>
      <c r="F550">
        <v>34.610214233398438</v>
      </c>
      <c r="G550">
        <v>37.015048980712891</v>
      </c>
      <c r="H550">
        <v>71.625259399414063</v>
      </c>
      <c r="I550" s="5" t="str">
        <f t="shared" si="27"/>
        <v>Medium</v>
      </c>
      <c r="J550" s="5" t="str">
        <f t="shared" si="28"/>
        <v>High</v>
      </c>
      <c r="K550" s="6">
        <f t="shared" si="29"/>
        <v>0</v>
      </c>
    </row>
    <row r="551" spans="1:11" x14ac:dyDescent="0.3">
      <c r="A551" t="s">
        <v>557</v>
      </c>
      <c r="B551">
        <v>10</v>
      </c>
      <c r="C551">
        <v>30.000001907348629</v>
      </c>
      <c r="D551">
        <v>40</v>
      </c>
      <c r="E551" t="s">
        <v>557</v>
      </c>
      <c r="F551">
        <v>35.764961242675781</v>
      </c>
      <c r="G551">
        <v>38.190364837646477</v>
      </c>
      <c r="H551">
        <v>73.955329895019531</v>
      </c>
      <c r="I551" s="5" t="str">
        <f t="shared" si="27"/>
        <v>Medium</v>
      </c>
      <c r="J551" s="5" t="str">
        <f t="shared" si="28"/>
        <v>High</v>
      </c>
      <c r="K551" s="6">
        <f t="shared" si="29"/>
        <v>0</v>
      </c>
    </row>
    <row r="552" spans="1:11" x14ac:dyDescent="0.3">
      <c r="A552" t="s">
        <v>558</v>
      </c>
      <c r="B552">
        <v>10</v>
      </c>
      <c r="C552">
        <v>30.000001907348629</v>
      </c>
      <c r="D552">
        <v>40</v>
      </c>
      <c r="E552" t="s">
        <v>558</v>
      </c>
      <c r="F552">
        <v>33.177543640136719</v>
      </c>
      <c r="G552">
        <v>34.579074859619141</v>
      </c>
      <c r="H552">
        <v>67.756614685058594</v>
      </c>
      <c r="I552" s="5" t="str">
        <f t="shared" si="27"/>
        <v>Medium</v>
      </c>
      <c r="J552" s="5" t="str">
        <f t="shared" si="28"/>
        <v>Medium</v>
      </c>
      <c r="K552" s="6">
        <f t="shared" si="29"/>
        <v>1</v>
      </c>
    </row>
    <row r="553" spans="1:11" x14ac:dyDescent="0.3">
      <c r="A553" t="s">
        <v>559</v>
      </c>
      <c r="B553">
        <v>10</v>
      </c>
      <c r="C553">
        <v>30.000001907348629</v>
      </c>
      <c r="D553">
        <v>40</v>
      </c>
      <c r="E553" t="s">
        <v>559</v>
      </c>
      <c r="F553">
        <v>33.205158233642578</v>
      </c>
      <c r="G553">
        <v>37.961135864257813</v>
      </c>
      <c r="H553">
        <v>71.166290283203125</v>
      </c>
      <c r="I553" s="5" t="str">
        <f t="shared" si="27"/>
        <v>Medium</v>
      </c>
      <c r="J553" s="5" t="str">
        <f t="shared" si="28"/>
        <v>High</v>
      </c>
      <c r="K553" s="6">
        <f t="shared" si="29"/>
        <v>0</v>
      </c>
    </row>
    <row r="554" spans="1:11" x14ac:dyDescent="0.3">
      <c r="A554" t="s">
        <v>560</v>
      </c>
      <c r="B554">
        <v>10</v>
      </c>
      <c r="C554">
        <v>30.000001907348629</v>
      </c>
      <c r="D554">
        <v>40</v>
      </c>
      <c r="E554" t="s">
        <v>560</v>
      </c>
      <c r="F554">
        <v>41.455764770507813</v>
      </c>
      <c r="G554">
        <v>53.683322906494141</v>
      </c>
      <c r="H554">
        <v>95.139083862304688</v>
      </c>
      <c r="I554" s="5" t="str">
        <f t="shared" si="27"/>
        <v>Medium</v>
      </c>
      <c r="J554" s="5" t="str">
        <f t="shared" si="28"/>
        <v>High</v>
      </c>
      <c r="K554" s="6">
        <f t="shared" si="29"/>
        <v>0</v>
      </c>
    </row>
    <row r="555" spans="1:11" x14ac:dyDescent="0.3">
      <c r="A555" t="s">
        <v>561</v>
      </c>
      <c r="B555">
        <v>10</v>
      </c>
      <c r="C555">
        <v>30.000001907348629</v>
      </c>
      <c r="D555">
        <v>40</v>
      </c>
      <c r="E555" t="s">
        <v>561</v>
      </c>
      <c r="F555">
        <v>28.814216613769531</v>
      </c>
      <c r="G555">
        <v>37.853157043457031</v>
      </c>
      <c r="H555">
        <v>66.667381286621094</v>
      </c>
      <c r="I555" s="5" t="str">
        <f t="shared" si="27"/>
        <v>Medium</v>
      </c>
      <c r="J555" s="5" t="str">
        <f t="shared" si="28"/>
        <v>Medium</v>
      </c>
      <c r="K555" s="6">
        <f t="shared" si="29"/>
        <v>1</v>
      </c>
    </row>
    <row r="556" spans="1:11" x14ac:dyDescent="0.3">
      <c r="A556" t="s">
        <v>562</v>
      </c>
      <c r="B556">
        <v>10</v>
      </c>
      <c r="C556">
        <v>30.000001907348629</v>
      </c>
      <c r="D556">
        <v>40</v>
      </c>
      <c r="E556" t="s">
        <v>562</v>
      </c>
      <c r="F556">
        <v>40.222900390625</v>
      </c>
      <c r="G556">
        <v>48.134151458740227</v>
      </c>
      <c r="H556">
        <v>88.3570556640625</v>
      </c>
      <c r="I556" s="5" t="str">
        <f t="shared" si="27"/>
        <v>Medium</v>
      </c>
      <c r="J556" s="5" t="str">
        <f t="shared" si="28"/>
        <v>High</v>
      </c>
      <c r="K556" s="6">
        <f t="shared" si="29"/>
        <v>0</v>
      </c>
    </row>
    <row r="557" spans="1:11" x14ac:dyDescent="0.3">
      <c r="A557" t="s">
        <v>563</v>
      </c>
      <c r="B557">
        <v>10</v>
      </c>
      <c r="C557">
        <v>50</v>
      </c>
      <c r="D557">
        <v>60.000003814697273</v>
      </c>
      <c r="E557" t="s">
        <v>563</v>
      </c>
      <c r="F557">
        <v>37.063808441162109</v>
      </c>
      <c r="G557">
        <v>49.969253540039063</v>
      </c>
      <c r="H557">
        <v>87.033058166503906</v>
      </c>
      <c r="I557" s="5" t="str">
        <f t="shared" si="27"/>
        <v>Medium</v>
      </c>
      <c r="J557" s="5" t="str">
        <f t="shared" si="28"/>
        <v>High</v>
      </c>
      <c r="K557" s="6">
        <f t="shared" si="29"/>
        <v>1</v>
      </c>
    </row>
    <row r="558" spans="1:11" x14ac:dyDescent="0.3">
      <c r="A558" t="s">
        <v>564</v>
      </c>
      <c r="B558">
        <v>10</v>
      </c>
      <c r="C558">
        <v>50</v>
      </c>
      <c r="D558">
        <v>60.000003814697273</v>
      </c>
      <c r="E558" t="s">
        <v>564</v>
      </c>
      <c r="F558">
        <v>47.847763061523438</v>
      </c>
      <c r="G558">
        <v>48.411106109619141</v>
      </c>
      <c r="H558">
        <v>96.258865356445313</v>
      </c>
      <c r="I558" s="5" t="str">
        <f t="shared" si="27"/>
        <v>Medium</v>
      </c>
      <c r="J558" s="5" t="str">
        <f t="shared" si="28"/>
        <v>High</v>
      </c>
      <c r="K558" s="6">
        <f t="shared" si="29"/>
        <v>0</v>
      </c>
    </row>
    <row r="559" spans="1:11" x14ac:dyDescent="0.3">
      <c r="A559" t="s">
        <v>565</v>
      </c>
      <c r="B559">
        <v>10</v>
      </c>
      <c r="C559">
        <v>50</v>
      </c>
      <c r="D559">
        <v>60.000003814697273</v>
      </c>
      <c r="E559" t="s">
        <v>565</v>
      </c>
      <c r="F559">
        <v>44.686882019042969</v>
      </c>
      <c r="G559">
        <v>50.737804412841797</v>
      </c>
      <c r="H559">
        <v>95.424690246582031</v>
      </c>
      <c r="I559" s="5" t="str">
        <f t="shared" si="27"/>
        <v>Medium</v>
      </c>
      <c r="J559" s="5" t="str">
        <f t="shared" si="28"/>
        <v>High</v>
      </c>
      <c r="K559" s="6">
        <f t="shared" si="29"/>
        <v>0</v>
      </c>
    </row>
    <row r="560" spans="1:11" x14ac:dyDescent="0.3">
      <c r="A560" t="s">
        <v>566</v>
      </c>
      <c r="B560">
        <v>10</v>
      </c>
      <c r="C560">
        <v>50</v>
      </c>
      <c r="D560">
        <v>60.000003814697273</v>
      </c>
      <c r="E560" t="s">
        <v>566</v>
      </c>
      <c r="F560">
        <v>48.136157989501953</v>
      </c>
      <c r="G560">
        <v>48.324554443359382</v>
      </c>
      <c r="H560">
        <v>96.460708618164063</v>
      </c>
      <c r="I560" s="5" t="str">
        <f t="shared" si="27"/>
        <v>Medium</v>
      </c>
      <c r="J560" s="5" t="str">
        <f t="shared" si="28"/>
        <v>High</v>
      </c>
      <c r="K560" s="6">
        <f t="shared" si="29"/>
        <v>0</v>
      </c>
    </row>
    <row r="561" spans="1:11" x14ac:dyDescent="0.3">
      <c r="A561" t="s">
        <v>567</v>
      </c>
      <c r="B561">
        <v>10</v>
      </c>
      <c r="C561">
        <v>50</v>
      </c>
      <c r="D561">
        <v>60.000003814697273</v>
      </c>
      <c r="E561" t="s">
        <v>567</v>
      </c>
      <c r="F561">
        <v>42.552703857421882</v>
      </c>
      <c r="G561">
        <v>44.068809509277337</v>
      </c>
      <c r="H561">
        <v>86.621513366699219</v>
      </c>
      <c r="I561" s="5" t="str">
        <f t="shared" si="27"/>
        <v>Medium</v>
      </c>
      <c r="J561" s="5" t="str">
        <f t="shared" si="28"/>
        <v>High</v>
      </c>
      <c r="K561" s="6">
        <f t="shared" si="29"/>
        <v>1</v>
      </c>
    </row>
    <row r="562" spans="1:11" x14ac:dyDescent="0.3">
      <c r="A562" t="s">
        <v>568</v>
      </c>
      <c r="B562">
        <v>10</v>
      </c>
      <c r="C562">
        <v>50</v>
      </c>
      <c r="D562">
        <v>60.000003814697273</v>
      </c>
      <c r="E562" t="s">
        <v>568</v>
      </c>
      <c r="F562">
        <v>42.773902893066413</v>
      </c>
      <c r="G562">
        <v>39.908451080322273</v>
      </c>
      <c r="H562">
        <v>82.682350158691406</v>
      </c>
      <c r="I562" s="5" t="str">
        <f t="shared" si="27"/>
        <v>Medium</v>
      </c>
      <c r="J562" s="5" t="str">
        <f t="shared" si="28"/>
        <v>High</v>
      </c>
      <c r="K562" s="6">
        <f t="shared" si="29"/>
        <v>1</v>
      </c>
    </row>
    <row r="563" spans="1:11" x14ac:dyDescent="0.3">
      <c r="A563" t="s">
        <v>569</v>
      </c>
      <c r="B563">
        <v>50</v>
      </c>
      <c r="C563">
        <v>50</v>
      </c>
      <c r="D563">
        <v>100</v>
      </c>
      <c r="E563" t="s">
        <v>569</v>
      </c>
      <c r="F563">
        <v>42.714851379394531</v>
      </c>
      <c r="G563">
        <v>44.187229156494141</v>
      </c>
      <c r="H563">
        <v>86.902084350585938</v>
      </c>
      <c r="I563" s="5" t="str">
        <f t="shared" si="27"/>
        <v>High</v>
      </c>
      <c r="J563" s="5" t="str">
        <f t="shared" si="28"/>
        <v>High</v>
      </c>
      <c r="K563" s="6">
        <f t="shared" si="29"/>
        <v>1</v>
      </c>
    </row>
    <row r="564" spans="1:11" x14ac:dyDescent="0.3">
      <c r="A564" t="s">
        <v>570</v>
      </c>
      <c r="B564">
        <v>50</v>
      </c>
      <c r="C564">
        <v>50</v>
      </c>
      <c r="D564">
        <v>100</v>
      </c>
      <c r="E564" t="s">
        <v>570</v>
      </c>
      <c r="F564">
        <v>47.145164489746087</v>
      </c>
      <c r="G564">
        <v>39.4334716796875</v>
      </c>
      <c r="H564">
        <v>86.578636169433594</v>
      </c>
      <c r="I564" s="5" t="str">
        <f t="shared" si="27"/>
        <v>High</v>
      </c>
      <c r="J564" s="5" t="str">
        <f t="shared" si="28"/>
        <v>High</v>
      </c>
      <c r="K564" s="6">
        <f t="shared" si="29"/>
        <v>1</v>
      </c>
    </row>
    <row r="565" spans="1:11" x14ac:dyDescent="0.3">
      <c r="A565" t="s">
        <v>571</v>
      </c>
      <c r="B565">
        <v>50</v>
      </c>
      <c r="C565">
        <v>50</v>
      </c>
      <c r="D565">
        <v>100</v>
      </c>
      <c r="E565" t="s">
        <v>571</v>
      </c>
      <c r="F565">
        <v>41.426227569580078</v>
      </c>
      <c r="G565">
        <v>43.654449462890618</v>
      </c>
      <c r="H565">
        <v>85.080680847167969</v>
      </c>
      <c r="I565" s="5" t="str">
        <f t="shared" si="27"/>
        <v>High</v>
      </c>
      <c r="J565" s="5" t="str">
        <f t="shared" si="28"/>
        <v>High</v>
      </c>
      <c r="K565" s="6">
        <f t="shared" si="29"/>
        <v>1</v>
      </c>
    </row>
    <row r="566" spans="1:11" x14ac:dyDescent="0.3">
      <c r="A566" t="s">
        <v>572</v>
      </c>
      <c r="B566">
        <v>50</v>
      </c>
      <c r="C566">
        <v>50</v>
      </c>
      <c r="D566">
        <v>100</v>
      </c>
      <c r="E566" t="s">
        <v>572</v>
      </c>
      <c r="F566">
        <v>42.76995849609375</v>
      </c>
      <c r="G566">
        <v>42.523998260498047</v>
      </c>
      <c r="H566">
        <v>85.293952941894531</v>
      </c>
      <c r="I566" s="5" t="str">
        <f t="shared" si="27"/>
        <v>High</v>
      </c>
      <c r="J566" s="5" t="str">
        <f t="shared" si="28"/>
        <v>High</v>
      </c>
      <c r="K566" s="6">
        <f t="shared" si="29"/>
        <v>1</v>
      </c>
    </row>
    <row r="567" spans="1:11" x14ac:dyDescent="0.3">
      <c r="A567" t="s">
        <v>573</v>
      </c>
      <c r="B567">
        <v>50</v>
      </c>
      <c r="C567">
        <v>50</v>
      </c>
      <c r="D567">
        <v>100</v>
      </c>
      <c r="E567" t="s">
        <v>573</v>
      </c>
      <c r="F567">
        <v>33.916217803955078</v>
      </c>
      <c r="G567">
        <v>41.396717071533203</v>
      </c>
      <c r="H567">
        <v>75.312934875488281</v>
      </c>
      <c r="I567" s="5" t="str">
        <f t="shared" si="27"/>
        <v>High</v>
      </c>
      <c r="J567" s="5" t="str">
        <f t="shared" si="28"/>
        <v>High</v>
      </c>
      <c r="K567" s="6">
        <f t="shared" si="29"/>
        <v>1</v>
      </c>
    </row>
    <row r="568" spans="1:11" x14ac:dyDescent="0.3">
      <c r="A568" t="s">
        <v>574</v>
      </c>
      <c r="B568">
        <v>50</v>
      </c>
      <c r="C568">
        <v>50</v>
      </c>
      <c r="D568">
        <v>100</v>
      </c>
      <c r="E568" t="s">
        <v>574</v>
      </c>
      <c r="F568">
        <v>37.899177551269531</v>
      </c>
      <c r="G568">
        <v>40.959148406982422</v>
      </c>
      <c r="H568">
        <v>78.858329772949219</v>
      </c>
      <c r="I568" s="5" t="str">
        <f t="shared" si="27"/>
        <v>High</v>
      </c>
      <c r="J568" s="5" t="str">
        <f t="shared" si="28"/>
        <v>High</v>
      </c>
      <c r="K568" s="6">
        <f t="shared" si="29"/>
        <v>1</v>
      </c>
    </row>
    <row r="569" spans="1:11" x14ac:dyDescent="0.3">
      <c r="A569" t="s">
        <v>575</v>
      </c>
      <c r="B569">
        <v>100</v>
      </c>
      <c r="C569">
        <v>30.000001907348629</v>
      </c>
      <c r="D569">
        <v>130</v>
      </c>
      <c r="E569" t="s">
        <v>575</v>
      </c>
      <c r="F569">
        <v>39.899898529052727</v>
      </c>
      <c r="G569">
        <v>46.67352294921875</v>
      </c>
      <c r="H569">
        <v>86.57342529296875</v>
      </c>
      <c r="I569" s="5" t="str">
        <f t="shared" si="27"/>
        <v>High</v>
      </c>
      <c r="J569" s="5" t="str">
        <f t="shared" si="28"/>
        <v>High</v>
      </c>
      <c r="K569" s="6">
        <f t="shared" si="29"/>
        <v>0</v>
      </c>
    </row>
    <row r="570" spans="1:11" x14ac:dyDescent="0.3">
      <c r="A570" t="s">
        <v>576</v>
      </c>
      <c r="B570">
        <v>100</v>
      </c>
      <c r="C570">
        <v>30.000001907348629</v>
      </c>
      <c r="D570">
        <v>130</v>
      </c>
      <c r="E570" t="s">
        <v>576</v>
      </c>
      <c r="F570">
        <v>40.722152709960938</v>
      </c>
      <c r="G570">
        <v>43.265045166015618</v>
      </c>
      <c r="H570">
        <v>83.987197875976563</v>
      </c>
      <c r="I570" s="5" t="str">
        <f t="shared" si="27"/>
        <v>High</v>
      </c>
      <c r="J570" s="5" t="str">
        <f t="shared" si="28"/>
        <v>High</v>
      </c>
      <c r="K570" s="6">
        <f t="shared" si="29"/>
        <v>0</v>
      </c>
    </row>
    <row r="571" spans="1:11" x14ac:dyDescent="0.3">
      <c r="A571" t="s">
        <v>577</v>
      </c>
      <c r="B571">
        <v>100</v>
      </c>
      <c r="C571">
        <v>30.000001907348629</v>
      </c>
      <c r="D571">
        <v>130</v>
      </c>
      <c r="E571" t="s">
        <v>577</v>
      </c>
      <c r="F571">
        <v>38.997753143310547</v>
      </c>
      <c r="G571">
        <v>43.442092895507813</v>
      </c>
      <c r="H571">
        <v>82.439842224121094</v>
      </c>
      <c r="I571" s="5" t="str">
        <f t="shared" si="27"/>
        <v>High</v>
      </c>
      <c r="J571" s="5" t="str">
        <f t="shared" si="28"/>
        <v>High</v>
      </c>
      <c r="K571" s="6">
        <f t="shared" si="29"/>
        <v>0</v>
      </c>
    </row>
    <row r="572" spans="1:11" x14ac:dyDescent="0.3">
      <c r="A572" t="s">
        <v>578</v>
      </c>
      <c r="B572">
        <v>100</v>
      </c>
      <c r="C572">
        <v>30.000001907348629</v>
      </c>
      <c r="D572">
        <v>130</v>
      </c>
      <c r="E572" t="s">
        <v>578</v>
      </c>
      <c r="F572">
        <v>37.298442840576172</v>
      </c>
      <c r="G572">
        <v>40.395130157470703</v>
      </c>
      <c r="H572">
        <v>77.693572998046875</v>
      </c>
      <c r="I572" s="5" t="str">
        <f t="shared" si="27"/>
        <v>High</v>
      </c>
      <c r="J572" s="5" t="str">
        <f t="shared" si="28"/>
        <v>High</v>
      </c>
      <c r="K572" s="6">
        <f t="shared" si="29"/>
        <v>0</v>
      </c>
    </row>
    <row r="573" spans="1:11" x14ac:dyDescent="0.3">
      <c r="A573" t="s">
        <v>579</v>
      </c>
      <c r="B573">
        <v>100</v>
      </c>
      <c r="C573">
        <v>30.000001907348629</v>
      </c>
      <c r="D573">
        <v>130</v>
      </c>
      <c r="E573" t="s">
        <v>579</v>
      </c>
      <c r="F573">
        <v>44.999580383300781</v>
      </c>
      <c r="G573">
        <v>43.823944091796882</v>
      </c>
      <c r="H573">
        <v>88.823524475097656</v>
      </c>
      <c r="I573" s="5" t="str">
        <f t="shared" si="27"/>
        <v>High</v>
      </c>
      <c r="J573" s="5" t="str">
        <f t="shared" si="28"/>
        <v>High</v>
      </c>
      <c r="K573" s="6">
        <f t="shared" si="29"/>
        <v>0</v>
      </c>
    </row>
    <row r="574" spans="1:11" x14ac:dyDescent="0.3">
      <c r="A574" t="s">
        <v>580</v>
      </c>
      <c r="B574">
        <v>100</v>
      </c>
      <c r="C574">
        <v>30.000001907348629</v>
      </c>
      <c r="D574">
        <v>130</v>
      </c>
      <c r="E574" t="s">
        <v>580</v>
      </c>
      <c r="F574">
        <v>38.047523498535163</v>
      </c>
      <c r="G574">
        <v>44.551586151123047</v>
      </c>
      <c r="H574">
        <v>82.599113464355469</v>
      </c>
      <c r="I574" s="5" t="str">
        <f t="shared" si="27"/>
        <v>High</v>
      </c>
      <c r="J574" s="5" t="str">
        <f t="shared" si="28"/>
        <v>High</v>
      </c>
      <c r="K574" s="6">
        <f t="shared" si="29"/>
        <v>0</v>
      </c>
    </row>
    <row r="575" spans="1:11" x14ac:dyDescent="0.3">
      <c r="A575" t="s">
        <v>581</v>
      </c>
      <c r="B575">
        <v>10</v>
      </c>
      <c r="C575">
        <v>10</v>
      </c>
      <c r="D575">
        <v>20</v>
      </c>
      <c r="E575" t="s">
        <v>581</v>
      </c>
      <c r="F575">
        <v>37.112083435058587</v>
      </c>
      <c r="G575">
        <v>36.766929626464837</v>
      </c>
      <c r="H575">
        <v>73.879013061523438</v>
      </c>
      <c r="I575" s="5" t="str">
        <f t="shared" si="27"/>
        <v>Low</v>
      </c>
      <c r="J575" s="5" t="str">
        <f t="shared" si="28"/>
        <v>High</v>
      </c>
      <c r="K575" s="6">
        <f t="shared" si="29"/>
        <v>0</v>
      </c>
    </row>
    <row r="576" spans="1:11" x14ac:dyDescent="0.3">
      <c r="A576" t="s">
        <v>582</v>
      </c>
      <c r="B576">
        <v>10</v>
      </c>
      <c r="C576">
        <v>10</v>
      </c>
      <c r="D576">
        <v>20</v>
      </c>
      <c r="E576" t="s">
        <v>582</v>
      </c>
      <c r="F576">
        <v>31.198894500732418</v>
      </c>
      <c r="G576">
        <v>34.692699432373047</v>
      </c>
      <c r="H576">
        <v>65.891593933105469</v>
      </c>
      <c r="I576" s="5" t="str">
        <f t="shared" si="27"/>
        <v>Low</v>
      </c>
      <c r="J576" s="5" t="str">
        <f t="shared" si="28"/>
        <v>Medium</v>
      </c>
      <c r="K576" s="6">
        <f t="shared" si="29"/>
        <v>0</v>
      </c>
    </row>
    <row r="577" spans="1:11" x14ac:dyDescent="0.3">
      <c r="A577" t="s">
        <v>583</v>
      </c>
      <c r="B577">
        <v>10</v>
      </c>
      <c r="C577">
        <v>10</v>
      </c>
      <c r="D577">
        <v>20</v>
      </c>
      <c r="E577" t="s">
        <v>583</v>
      </c>
      <c r="F577">
        <v>39.106712341308587</v>
      </c>
      <c r="G577">
        <v>45.468475341796882</v>
      </c>
      <c r="H577">
        <v>84.575187683105469</v>
      </c>
      <c r="I577" s="5" t="str">
        <f t="shared" si="27"/>
        <v>Low</v>
      </c>
      <c r="J577" s="5" t="str">
        <f t="shared" si="28"/>
        <v>High</v>
      </c>
      <c r="K577" s="6">
        <f t="shared" si="29"/>
        <v>0</v>
      </c>
    </row>
    <row r="578" spans="1:11" x14ac:dyDescent="0.3">
      <c r="A578" t="s">
        <v>584</v>
      </c>
      <c r="B578">
        <v>10</v>
      </c>
      <c r="C578">
        <v>10</v>
      </c>
      <c r="D578">
        <v>20</v>
      </c>
      <c r="E578" t="s">
        <v>584</v>
      </c>
      <c r="F578">
        <v>36.256698608398438</v>
      </c>
      <c r="G578">
        <v>34.375556945800781</v>
      </c>
      <c r="H578">
        <v>70.632255554199219</v>
      </c>
      <c r="I578" s="5" t="str">
        <f t="shared" si="27"/>
        <v>Low</v>
      </c>
      <c r="J578" s="5" t="str">
        <f t="shared" si="28"/>
        <v>High</v>
      </c>
      <c r="K578" s="6">
        <f t="shared" si="29"/>
        <v>0</v>
      </c>
    </row>
    <row r="579" spans="1:11" x14ac:dyDescent="0.3">
      <c r="A579" t="s">
        <v>585</v>
      </c>
      <c r="B579">
        <v>10</v>
      </c>
      <c r="C579">
        <v>10</v>
      </c>
      <c r="D579">
        <v>20</v>
      </c>
      <c r="E579" t="s">
        <v>585</v>
      </c>
      <c r="F579">
        <v>35.299797058105469</v>
      </c>
      <c r="G579">
        <v>30.553985595703121</v>
      </c>
      <c r="H579">
        <v>65.853790283203125</v>
      </c>
      <c r="I579" s="5" t="str">
        <f t="shared" si="27"/>
        <v>Low</v>
      </c>
      <c r="J579" s="5" t="str">
        <f t="shared" si="28"/>
        <v>Medium</v>
      </c>
      <c r="K579" s="6">
        <f t="shared" si="29"/>
        <v>0</v>
      </c>
    </row>
    <row r="580" spans="1:11" x14ac:dyDescent="0.3">
      <c r="A580" t="s">
        <v>586</v>
      </c>
      <c r="B580">
        <v>10</v>
      </c>
      <c r="C580">
        <v>10</v>
      </c>
      <c r="D580">
        <v>20</v>
      </c>
      <c r="E580" t="s">
        <v>586</v>
      </c>
      <c r="F580">
        <v>38.260753631591797</v>
      </c>
      <c r="G580">
        <v>39.488498687744141</v>
      </c>
      <c r="H580">
        <v>77.749252319335938</v>
      </c>
      <c r="I580" s="5" t="str">
        <f t="shared" si="27"/>
        <v>Low</v>
      </c>
      <c r="J580" s="5" t="str">
        <f t="shared" si="28"/>
        <v>High</v>
      </c>
      <c r="K580" s="6">
        <f t="shared" si="29"/>
        <v>0</v>
      </c>
    </row>
    <row r="581" spans="1:11" x14ac:dyDescent="0.3">
      <c r="A581" t="s">
        <v>587</v>
      </c>
      <c r="B581">
        <v>10</v>
      </c>
      <c r="C581">
        <v>40</v>
      </c>
      <c r="D581">
        <v>50</v>
      </c>
      <c r="E581" t="s">
        <v>587</v>
      </c>
      <c r="F581">
        <v>36.077014923095703</v>
      </c>
      <c r="G581">
        <v>35.289947509765618</v>
      </c>
      <c r="H581">
        <v>71.366966247558594</v>
      </c>
      <c r="I581" s="5" t="str">
        <f t="shared" ref="I581:I644" si="30" xml:space="preserve"> IF(D581 &lt;= 39, "Low",
               IF(D581 &lt;= 69, "Medium", "High"))</f>
        <v>Medium</v>
      </c>
      <c r="J581" s="5" t="str">
        <f t="shared" ref="J581:J644" si="31" xml:space="preserve"> IF(H581 &lt;= 39, "Low",
               IF(H581 &lt;= 69, "Medium", "High"))</f>
        <v>High</v>
      </c>
      <c r="K581" s="6">
        <f t="shared" ref="K581:K644" si="32" xml:space="preserve"> IF(ABS(D581 - H581) &lt;= 30, 1, 0)</f>
        <v>1</v>
      </c>
    </row>
    <row r="582" spans="1:11" x14ac:dyDescent="0.3">
      <c r="A582" t="s">
        <v>588</v>
      </c>
      <c r="B582">
        <v>10</v>
      </c>
      <c r="C582">
        <v>40</v>
      </c>
      <c r="D582">
        <v>50</v>
      </c>
      <c r="E582" t="s">
        <v>588</v>
      </c>
      <c r="F582">
        <v>34.337661743164063</v>
      </c>
      <c r="G582">
        <v>34.132152557373047</v>
      </c>
      <c r="H582">
        <v>68.469818115234375</v>
      </c>
      <c r="I582" s="5" t="str">
        <f t="shared" si="30"/>
        <v>Medium</v>
      </c>
      <c r="J582" s="5" t="str">
        <f t="shared" si="31"/>
        <v>Medium</v>
      </c>
      <c r="K582" s="6">
        <f t="shared" si="32"/>
        <v>1</v>
      </c>
    </row>
    <row r="583" spans="1:11" x14ac:dyDescent="0.3">
      <c r="A583" t="s">
        <v>589</v>
      </c>
      <c r="B583">
        <v>10</v>
      </c>
      <c r="C583">
        <v>40</v>
      </c>
      <c r="D583">
        <v>50</v>
      </c>
      <c r="E583" t="s">
        <v>589</v>
      </c>
      <c r="F583">
        <v>40.492790222167969</v>
      </c>
      <c r="G583">
        <v>35.558933258056641</v>
      </c>
      <c r="H583">
        <v>76.051727294921875</v>
      </c>
      <c r="I583" s="5" t="str">
        <f t="shared" si="30"/>
        <v>Medium</v>
      </c>
      <c r="J583" s="5" t="str">
        <f t="shared" si="31"/>
        <v>High</v>
      </c>
      <c r="K583" s="6">
        <f t="shared" si="32"/>
        <v>1</v>
      </c>
    </row>
    <row r="584" spans="1:11" x14ac:dyDescent="0.3">
      <c r="A584" t="s">
        <v>590</v>
      </c>
      <c r="B584">
        <v>10</v>
      </c>
      <c r="C584">
        <v>40</v>
      </c>
      <c r="D584">
        <v>50</v>
      </c>
      <c r="E584" t="s">
        <v>590</v>
      </c>
      <c r="F584">
        <v>34.777198791503913</v>
      </c>
      <c r="G584">
        <v>33.344722747802727</v>
      </c>
      <c r="H584">
        <v>68.121925354003906</v>
      </c>
      <c r="I584" s="5" t="str">
        <f t="shared" si="30"/>
        <v>Medium</v>
      </c>
      <c r="J584" s="5" t="str">
        <f t="shared" si="31"/>
        <v>Medium</v>
      </c>
      <c r="K584" s="6">
        <f t="shared" si="32"/>
        <v>1</v>
      </c>
    </row>
    <row r="585" spans="1:11" x14ac:dyDescent="0.3">
      <c r="A585" t="s">
        <v>591</v>
      </c>
      <c r="B585">
        <v>10</v>
      </c>
      <c r="C585">
        <v>40</v>
      </c>
      <c r="D585">
        <v>50</v>
      </c>
      <c r="E585" t="s">
        <v>591</v>
      </c>
      <c r="F585">
        <v>41.202552795410163</v>
      </c>
      <c r="G585">
        <v>48.444923400878913</v>
      </c>
      <c r="H585">
        <v>89.647476196289063</v>
      </c>
      <c r="I585" s="5" t="str">
        <f t="shared" si="30"/>
        <v>Medium</v>
      </c>
      <c r="J585" s="5" t="str">
        <f t="shared" si="31"/>
        <v>High</v>
      </c>
      <c r="K585" s="6">
        <f t="shared" si="32"/>
        <v>0</v>
      </c>
    </row>
    <row r="586" spans="1:11" x14ac:dyDescent="0.3">
      <c r="A586" t="s">
        <v>592</v>
      </c>
      <c r="B586">
        <v>10</v>
      </c>
      <c r="C586">
        <v>40</v>
      </c>
      <c r="D586">
        <v>50</v>
      </c>
      <c r="E586" t="s">
        <v>592</v>
      </c>
      <c r="F586">
        <v>39.719734191894531</v>
      </c>
      <c r="G586">
        <v>42.465030670166023</v>
      </c>
      <c r="H586">
        <v>82.184768676757813</v>
      </c>
      <c r="I586" s="5" t="str">
        <f t="shared" si="30"/>
        <v>Medium</v>
      </c>
      <c r="J586" s="5" t="str">
        <f t="shared" si="31"/>
        <v>High</v>
      </c>
      <c r="K586" s="6">
        <f t="shared" si="32"/>
        <v>0</v>
      </c>
    </row>
    <row r="587" spans="1:11" x14ac:dyDescent="0.3">
      <c r="A587" t="s">
        <v>593</v>
      </c>
      <c r="B587">
        <v>10</v>
      </c>
      <c r="C587">
        <v>10</v>
      </c>
      <c r="D587">
        <v>20</v>
      </c>
      <c r="E587" t="s">
        <v>593</v>
      </c>
      <c r="F587">
        <v>37.682449340820313</v>
      </c>
      <c r="G587">
        <v>40.950370788574219</v>
      </c>
      <c r="H587">
        <v>78.632820129394531</v>
      </c>
      <c r="I587" s="5" t="str">
        <f t="shared" si="30"/>
        <v>Low</v>
      </c>
      <c r="J587" s="5" t="str">
        <f t="shared" si="31"/>
        <v>High</v>
      </c>
      <c r="K587" s="6">
        <f t="shared" si="32"/>
        <v>0</v>
      </c>
    </row>
    <row r="588" spans="1:11" x14ac:dyDescent="0.3">
      <c r="A588" t="s">
        <v>594</v>
      </c>
      <c r="B588">
        <v>10</v>
      </c>
      <c r="C588">
        <v>10</v>
      </c>
      <c r="D588">
        <v>20</v>
      </c>
      <c r="E588" t="s">
        <v>594</v>
      </c>
      <c r="F588">
        <v>40.970664978027337</v>
      </c>
      <c r="G588">
        <v>46.472942352294922</v>
      </c>
      <c r="H588">
        <v>87.443611145019531</v>
      </c>
      <c r="I588" s="5" t="str">
        <f t="shared" si="30"/>
        <v>Low</v>
      </c>
      <c r="J588" s="5" t="str">
        <f t="shared" si="31"/>
        <v>High</v>
      </c>
      <c r="K588" s="6">
        <f t="shared" si="32"/>
        <v>0</v>
      </c>
    </row>
    <row r="589" spans="1:11" x14ac:dyDescent="0.3">
      <c r="A589" t="s">
        <v>595</v>
      </c>
      <c r="B589">
        <v>10</v>
      </c>
      <c r="C589">
        <v>10</v>
      </c>
      <c r="D589">
        <v>20</v>
      </c>
      <c r="E589" t="s">
        <v>595</v>
      </c>
      <c r="F589">
        <v>42.189952850341797</v>
      </c>
      <c r="G589">
        <v>47.791404724121087</v>
      </c>
      <c r="H589">
        <v>89.981353759765625</v>
      </c>
      <c r="I589" s="5" t="str">
        <f t="shared" si="30"/>
        <v>Low</v>
      </c>
      <c r="J589" s="5" t="str">
        <f t="shared" si="31"/>
        <v>High</v>
      </c>
      <c r="K589" s="6">
        <f t="shared" si="32"/>
        <v>0</v>
      </c>
    </row>
    <row r="590" spans="1:11" x14ac:dyDescent="0.3">
      <c r="A590" t="s">
        <v>596</v>
      </c>
      <c r="B590">
        <v>10</v>
      </c>
      <c r="C590">
        <v>10</v>
      </c>
      <c r="D590">
        <v>20</v>
      </c>
      <c r="E590" t="s">
        <v>596</v>
      </c>
      <c r="F590">
        <v>36.958587646484382</v>
      </c>
      <c r="G590">
        <v>47.067951202392578</v>
      </c>
      <c r="H590">
        <v>84.026542663574219</v>
      </c>
      <c r="I590" s="5" t="str">
        <f t="shared" si="30"/>
        <v>Low</v>
      </c>
      <c r="J590" s="5" t="str">
        <f t="shared" si="31"/>
        <v>High</v>
      </c>
      <c r="K590" s="6">
        <f t="shared" si="32"/>
        <v>0</v>
      </c>
    </row>
    <row r="591" spans="1:11" x14ac:dyDescent="0.3">
      <c r="A591" t="s">
        <v>597</v>
      </c>
      <c r="B591">
        <v>10</v>
      </c>
      <c r="C591">
        <v>10</v>
      </c>
      <c r="D591">
        <v>20</v>
      </c>
      <c r="E591" t="s">
        <v>597</v>
      </c>
      <c r="F591">
        <v>35.644157409667969</v>
      </c>
      <c r="G591">
        <v>43.350933074951172</v>
      </c>
      <c r="H591">
        <v>78.995094299316406</v>
      </c>
      <c r="I591" s="5" t="str">
        <f t="shared" si="30"/>
        <v>Low</v>
      </c>
      <c r="J591" s="5" t="str">
        <f t="shared" si="31"/>
        <v>High</v>
      </c>
      <c r="K591" s="6">
        <f t="shared" si="32"/>
        <v>0</v>
      </c>
    </row>
    <row r="592" spans="1:11" x14ac:dyDescent="0.3">
      <c r="A592" t="s">
        <v>598</v>
      </c>
      <c r="B592">
        <v>10</v>
      </c>
      <c r="C592">
        <v>10</v>
      </c>
      <c r="D592">
        <v>20</v>
      </c>
      <c r="E592" t="s">
        <v>598</v>
      </c>
      <c r="F592">
        <v>36.460861206054688</v>
      </c>
      <c r="G592">
        <v>46.157730102539063</v>
      </c>
      <c r="H592">
        <v>82.61859130859375</v>
      </c>
      <c r="I592" s="5" t="str">
        <f t="shared" si="30"/>
        <v>Low</v>
      </c>
      <c r="J592" s="5" t="str">
        <f t="shared" si="31"/>
        <v>High</v>
      </c>
      <c r="K592" s="6">
        <f t="shared" si="32"/>
        <v>0</v>
      </c>
    </row>
    <row r="593" spans="1:11" x14ac:dyDescent="0.3">
      <c r="A593" t="s">
        <v>599</v>
      </c>
      <c r="B593">
        <v>10</v>
      </c>
      <c r="C593">
        <v>20</v>
      </c>
      <c r="D593">
        <v>30.000001907348629</v>
      </c>
      <c r="E593" t="s">
        <v>599</v>
      </c>
      <c r="F593">
        <v>34.751541137695313</v>
      </c>
      <c r="G593">
        <v>42.970596313476563</v>
      </c>
      <c r="H593">
        <v>77.722137451171875</v>
      </c>
      <c r="I593" s="5" t="str">
        <f t="shared" si="30"/>
        <v>Low</v>
      </c>
      <c r="J593" s="5" t="str">
        <f t="shared" si="31"/>
        <v>High</v>
      </c>
      <c r="K593" s="6">
        <f t="shared" si="32"/>
        <v>0</v>
      </c>
    </row>
    <row r="594" spans="1:11" x14ac:dyDescent="0.3">
      <c r="A594" t="s">
        <v>600</v>
      </c>
      <c r="B594">
        <v>10</v>
      </c>
      <c r="C594">
        <v>20</v>
      </c>
      <c r="D594">
        <v>30.000001907348629</v>
      </c>
      <c r="E594" t="s">
        <v>600</v>
      </c>
      <c r="F594">
        <v>37.178901672363281</v>
      </c>
      <c r="G594">
        <v>47.011680603027337</v>
      </c>
      <c r="H594">
        <v>84.190582275390625</v>
      </c>
      <c r="I594" s="5" t="str">
        <f t="shared" si="30"/>
        <v>Low</v>
      </c>
      <c r="J594" s="5" t="str">
        <f t="shared" si="31"/>
        <v>High</v>
      </c>
      <c r="K594" s="6">
        <f t="shared" si="32"/>
        <v>0</v>
      </c>
    </row>
    <row r="595" spans="1:11" x14ac:dyDescent="0.3">
      <c r="A595" t="s">
        <v>601</v>
      </c>
      <c r="B595">
        <v>10</v>
      </c>
      <c r="C595">
        <v>20</v>
      </c>
      <c r="D595">
        <v>30.000001907348629</v>
      </c>
      <c r="E595" t="s">
        <v>601</v>
      </c>
      <c r="F595">
        <v>38.700424194335938</v>
      </c>
      <c r="G595">
        <v>44.599117279052727</v>
      </c>
      <c r="H595">
        <v>83.299545288085938</v>
      </c>
      <c r="I595" s="5" t="str">
        <f t="shared" si="30"/>
        <v>Low</v>
      </c>
      <c r="J595" s="5" t="str">
        <f t="shared" si="31"/>
        <v>High</v>
      </c>
      <c r="K595" s="6">
        <f t="shared" si="32"/>
        <v>0</v>
      </c>
    </row>
    <row r="596" spans="1:11" x14ac:dyDescent="0.3">
      <c r="A596" t="s">
        <v>602</v>
      </c>
      <c r="B596">
        <v>10</v>
      </c>
      <c r="C596">
        <v>20</v>
      </c>
      <c r="D596">
        <v>30.000001907348629</v>
      </c>
      <c r="E596" t="s">
        <v>602</v>
      </c>
      <c r="F596">
        <v>37.861747741699219</v>
      </c>
      <c r="G596">
        <v>36.028957366943359</v>
      </c>
      <c r="H596">
        <v>73.890701293945313</v>
      </c>
      <c r="I596" s="5" t="str">
        <f t="shared" si="30"/>
        <v>Low</v>
      </c>
      <c r="J596" s="5" t="str">
        <f t="shared" si="31"/>
        <v>High</v>
      </c>
      <c r="K596" s="6">
        <f t="shared" si="32"/>
        <v>0</v>
      </c>
    </row>
    <row r="597" spans="1:11" x14ac:dyDescent="0.3">
      <c r="A597" t="s">
        <v>603</v>
      </c>
      <c r="B597">
        <v>10</v>
      </c>
      <c r="C597">
        <v>20</v>
      </c>
      <c r="D597">
        <v>30.000001907348629</v>
      </c>
      <c r="E597" t="s">
        <v>603</v>
      </c>
      <c r="F597">
        <v>32.58203125</v>
      </c>
      <c r="G597">
        <v>39.720489501953118</v>
      </c>
      <c r="H597">
        <v>72.302520751953125</v>
      </c>
      <c r="I597" s="5" t="str">
        <f t="shared" si="30"/>
        <v>Low</v>
      </c>
      <c r="J597" s="5" t="str">
        <f t="shared" si="31"/>
        <v>High</v>
      </c>
      <c r="K597" s="6">
        <f t="shared" si="32"/>
        <v>0</v>
      </c>
    </row>
    <row r="598" spans="1:11" x14ac:dyDescent="0.3">
      <c r="A598" t="s">
        <v>604</v>
      </c>
      <c r="B598">
        <v>10</v>
      </c>
      <c r="C598">
        <v>20</v>
      </c>
      <c r="D598">
        <v>30.000001907348629</v>
      </c>
      <c r="E598" t="s">
        <v>604</v>
      </c>
      <c r="F598">
        <v>39.686836242675781</v>
      </c>
      <c r="G598">
        <v>39.152206420898438</v>
      </c>
      <c r="H598">
        <v>78.839042663574219</v>
      </c>
      <c r="I598" s="5" t="str">
        <f t="shared" si="30"/>
        <v>Low</v>
      </c>
      <c r="J598" s="5" t="str">
        <f t="shared" si="31"/>
        <v>High</v>
      </c>
      <c r="K598" s="6">
        <f t="shared" si="32"/>
        <v>0</v>
      </c>
    </row>
    <row r="599" spans="1:11" x14ac:dyDescent="0.3">
      <c r="A599" t="s">
        <v>605</v>
      </c>
      <c r="B599">
        <v>40</v>
      </c>
      <c r="C599">
        <v>40</v>
      </c>
      <c r="D599">
        <v>80</v>
      </c>
      <c r="E599" t="s">
        <v>605</v>
      </c>
      <c r="F599">
        <v>40.648796081542969</v>
      </c>
      <c r="G599">
        <v>40.103511810302727</v>
      </c>
      <c r="H599">
        <v>80.752304077148438</v>
      </c>
      <c r="I599" s="5" t="str">
        <f t="shared" si="30"/>
        <v>High</v>
      </c>
      <c r="J599" s="5" t="str">
        <f t="shared" si="31"/>
        <v>High</v>
      </c>
      <c r="K599" s="6">
        <f t="shared" si="32"/>
        <v>1</v>
      </c>
    </row>
    <row r="600" spans="1:11" x14ac:dyDescent="0.3">
      <c r="A600" t="s">
        <v>606</v>
      </c>
      <c r="B600">
        <v>40</v>
      </c>
      <c r="C600">
        <v>40</v>
      </c>
      <c r="D600">
        <v>80</v>
      </c>
      <c r="E600" t="s">
        <v>606</v>
      </c>
      <c r="F600">
        <v>41.271549224853523</v>
      </c>
      <c r="G600">
        <v>51.180763244628913</v>
      </c>
      <c r="H600">
        <v>92.452308654785156</v>
      </c>
      <c r="I600" s="5" t="str">
        <f t="shared" si="30"/>
        <v>High</v>
      </c>
      <c r="J600" s="5" t="str">
        <f t="shared" si="31"/>
        <v>High</v>
      </c>
      <c r="K600" s="6">
        <f t="shared" si="32"/>
        <v>1</v>
      </c>
    </row>
    <row r="601" spans="1:11" x14ac:dyDescent="0.3">
      <c r="A601" t="s">
        <v>607</v>
      </c>
      <c r="B601">
        <v>40</v>
      </c>
      <c r="C601">
        <v>40</v>
      </c>
      <c r="D601">
        <v>80</v>
      </c>
      <c r="E601" t="s">
        <v>607</v>
      </c>
      <c r="F601">
        <v>36.873779296875</v>
      </c>
      <c r="G601">
        <v>38.437088012695313</v>
      </c>
      <c r="H601">
        <v>75.310867309570313</v>
      </c>
      <c r="I601" s="5" t="str">
        <f t="shared" si="30"/>
        <v>High</v>
      </c>
      <c r="J601" s="5" t="str">
        <f t="shared" si="31"/>
        <v>High</v>
      </c>
      <c r="K601" s="6">
        <f t="shared" si="32"/>
        <v>1</v>
      </c>
    </row>
    <row r="602" spans="1:11" x14ac:dyDescent="0.3">
      <c r="A602" t="s">
        <v>608</v>
      </c>
      <c r="B602">
        <v>40</v>
      </c>
      <c r="C602">
        <v>40</v>
      </c>
      <c r="D602">
        <v>80</v>
      </c>
      <c r="E602" t="s">
        <v>608</v>
      </c>
      <c r="F602">
        <v>33.276546478271477</v>
      </c>
      <c r="G602">
        <v>41.980136871337891</v>
      </c>
      <c r="H602">
        <v>75.256683349609375</v>
      </c>
      <c r="I602" s="5" t="str">
        <f t="shared" si="30"/>
        <v>High</v>
      </c>
      <c r="J602" s="5" t="str">
        <f t="shared" si="31"/>
        <v>High</v>
      </c>
      <c r="K602" s="6">
        <f t="shared" si="32"/>
        <v>1</v>
      </c>
    </row>
    <row r="603" spans="1:11" x14ac:dyDescent="0.3">
      <c r="A603" t="s">
        <v>609</v>
      </c>
      <c r="B603">
        <v>40</v>
      </c>
      <c r="C603">
        <v>40</v>
      </c>
      <c r="D603">
        <v>80</v>
      </c>
      <c r="E603" t="s">
        <v>609</v>
      </c>
      <c r="F603">
        <v>33.083419799804688</v>
      </c>
      <c r="G603">
        <v>40.277099609375</v>
      </c>
      <c r="H603">
        <v>73.360511779785156</v>
      </c>
      <c r="I603" s="5" t="str">
        <f t="shared" si="30"/>
        <v>High</v>
      </c>
      <c r="J603" s="5" t="str">
        <f t="shared" si="31"/>
        <v>High</v>
      </c>
      <c r="K603" s="6">
        <f t="shared" si="32"/>
        <v>1</v>
      </c>
    </row>
    <row r="604" spans="1:11" x14ac:dyDescent="0.3">
      <c r="A604" t="s">
        <v>610</v>
      </c>
      <c r="B604">
        <v>40</v>
      </c>
      <c r="C604">
        <v>40</v>
      </c>
      <c r="D604">
        <v>80</v>
      </c>
      <c r="E604" t="s">
        <v>610</v>
      </c>
      <c r="F604">
        <v>32.280643463134773</v>
      </c>
      <c r="G604">
        <v>44.734909057617188</v>
      </c>
      <c r="H604">
        <v>77.015556335449219</v>
      </c>
      <c r="I604" s="5" t="str">
        <f t="shared" si="30"/>
        <v>High</v>
      </c>
      <c r="J604" s="5" t="str">
        <f t="shared" si="31"/>
        <v>High</v>
      </c>
      <c r="K604" s="6">
        <f t="shared" si="32"/>
        <v>1</v>
      </c>
    </row>
    <row r="605" spans="1:11" x14ac:dyDescent="0.3">
      <c r="A605" t="s">
        <v>611</v>
      </c>
      <c r="B605">
        <v>40</v>
      </c>
      <c r="C605">
        <v>60.000003814697273</v>
      </c>
      <c r="D605">
        <v>100</v>
      </c>
      <c r="E605" t="s">
        <v>611</v>
      </c>
      <c r="F605">
        <v>37.835636138916023</v>
      </c>
      <c r="G605">
        <v>44.352901458740227</v>
      </c>
      <c r="H605">
        <v>82.18853759765625</v>
      </c>
      <c r="I605" s="5" t="str">
        <f t="shared" si="30"/>
        <v>High</v>
      </c>
      <c r="J605" s="5" t="str">
        <f t="shared" si="31"/>
        <v>High</v>
      </c>
      <c r="K605" s="6">
        <f t="shared" si="32"/>
        <v>1</v>
      </c>
    </row>
    <row r="606" spans="1:11" x14ac:dyDescent="0.3">
      <c r="A606" t="s">
        <v>612</v>
      </c>
      <c r="B606">
        <v>40</v>
      </c>
      <c r="C606">
        <v>60.000003814697273</v>
      </c>
      <c r="D606">
        <v>100</v>
      </c>
      <c r="E606" t="s">
        <v>612</v>
      </c>
      <c r="F606">
        <v>36.654369354248047</v>
      </c>
      <c r="G606">
        <v>39.048679351806641</v>
      </c>
      <c r="H606">
        <v>75.703048706054688</v>
      </c>
      <c r="I606" s="5" t="str">
        <f t="shared" si="30"/>
        <v>High</v>
      </c>
      <c r="J606" s="5" t="str">
        <f t="shared" si="31"/>
        <v>High</v>
      </c>
      <c r="K606" s="6">
        <f t="shared" si="32"/>
        <v>1</v>
      </c>
    </row>
    <row r="607" spans="1:11" x14ac:dyDescent="0.3">
      <c r="A607" t="s">
        <v>613</v>
      </c>
      <c r="B607">
        <v>40</v>
      </c>
      <c r="C607">
        <v>60.000003814697273</v>
      </c>
      <c r="D607">
        <v>100</v>
      </c>
      <c r="E607" t="s">
        <v>613</v>
      </c>
      <c r="F607">
        <v>32.799617767333977</v>
      </c>
      <c r="G607">
        <v>40.175029754638672</v>
      </c>
      <c r="H607">
        <v>72.974647521972656</v>
      </c>
      <c r="I607" s="5" t="str">
        <f t="shared" si="30"/>
        <v>High</v>
      </c>
      <c r="J607" s="5" t="str">
        <f t="shared" si="31"/>
        <v>High</v>
      </c>
      <c r="K607" s="6">
        <f t="shared" si="32"/>
        <v>1</v>
      </c>
    </row>
    <row r="608" spans="1:11" x14ac:dyDescent="0.3">
      <c r="A608" t="s">
        <v>614</v>
      </c>
      <c r="B608">
        <v>40</v>
      </c>
      <c r="C608">
        <v>60.000003814697273</v>
      </c>
      <c r="D608">
        <v>100</v>
      </c>
      <c r="E608" t="s">
        <v>614</v>
      </c>
      <c r="F608">
        <v>34.672878265380859</v>
      </c>
      <c r="G608">
        <v>39.188774108886719</v>
      </c>
      <c r="H608">
        <v>73.861656188964844</v>
      </c>
      <c r="I608" s="5" t="str">
        <f t="shared" si="30"/>
        <v>High</v>
      </c>
      <c r="J608" s="5" t="str">
        <f t="shared" si="31"/>
        <v>High</v>
      </c>
      <c r="K608" s="6">
        <f t="shared" si="32"/>
        <v>1</v>
      </c>
    </row>
    <row r="609" spans="1:11" x14ac:dyDescent="0.3">
      <c r="A609" t="s">
        <v>615</v>
      </c>
      <c r="B609">
        <v>40</v>
      </c>
      <c r="C609">
        <v>60.000003814697273</v>
      </c>
      <c r="D609">
        <v>100</v>
      </c>
      <c r="E609" t="s">
        <v>615</v>
      </c>
      <c r="F609">
        <v>40.562923431396477</v>
      </c>
      <c r="G609">
        <v>47.036296844482422</v>
      </c>
      <c r="H609">
        <v>87.599220275878906</v>
      </c>
      <c r="I609" s="5" t="str">
        <f t="shared" si="30"/>
        <v>High</v>
      </c>
      <c r="J609" s="5" t="str">
        <f t="shared" si="31"/>
        <v>High</v>
      </c>
      <c r="K609" s="6">
        <f t="shared" si="32"/>
        <v>1</v>
      </c>
    </row>
    <row r="610" spans="1:11" x14ac:dyDescent="0.3">
      <c r="A610" t="s">
        <v>616</v>
      </c>
      <c r="B610">
        <v>40</v>
      </c>
      <c r="C610">
        <v>60.000003814697273</v>
      </c>
      <c r="D610">
        <v>100</v>
      </c>
      <c r="E610" t="s">
        <v>616</v>
      </c>
      <c r="F610">
        <v>38.523490905761719</v>
      </c>
      <c r="G610">
        <v>45.210414886474609</v>
      </c>
      <c r="H610">
        <v>83.733901977539063</v>
      </c>
      <c r="I610" s="5" t="str">
        <f t="shared" si="30"/>
        <v>High</v>
      </c>
      <c r="J610" s="5" t="str">
        <f t="shared" si="31"/>
        <v>High</v>
      </c>
      <c r="K610" s="6">
        <f t="shared" si="32"/>
        <v>1</v>
      </c>
    </row>
    <row r="611" spans="1:11" x14ac:dyDescent="0.3">
      <c r="A611" t="s">
        <v>617</v>
      </c>
      <c r="B611">
        <v>10</v>
      </c>
      <c r="C611">
        <v>40</v>
      </c>
      <c r="D611">
        <v>50</v>
      </c>
      <c r="E611" t="s">
        <v>617</v>
      </c>
      <c r="F611">
        <v>35.938610076904297</v>
      </c>
      <c r="G611">
        <v>43.059371948242188</v>
      </c>
      <c r="H611">
        <v>78.997978210449219</v>
      </c>
      <c r="I611" s="5" t="str">
        <f t="shared" si="30"/>
        <v>Medium</v>
      </c>
      <c r="J611" s="5" t="str">
        <f t="shared" si="31"/>
        <v>High</v>
      </c>
      <c r="K611" s="6">
        <f t="shared" si="32"/>
        <v>1</v>
      </c>
    </row>
    <row r="612" spans="1:11" x14ac:dyDescent="0.3">
      <c r="A612" t="s">
        <v>618</v>
      </c>
      <c r="B612">
        <v>10</v>
      </c>
      <c r="C612">
        <v>40</v>
      </c>
      <c r="D612">
        <v>50</v>
      </c>
      <c r="E612" t="s">
        <v>618</v>
      </c>
      <c r="F612">
        <v>37.913902282714837</v>
      </c>
      <c r="G612">
        <v>44.298873901367188</v>
      </c>
      <c r="H612">
        <v>82.212783813476563</v>
      </c>
      <c r="I612" s="5" t="str">
        <f t="shared" si="30"/>
        <v>Medium</v>
      </c>
      <c r="J612" s="5" t="str">
        <f t="shared" si="31"/>
        <v>High</v>
      </c>
      <c r="K612" s="6">
        <f t="shared" si="32"/>
        <v>0</v>
      </c>
    </row>
    <row r="613" spans="1:11" x14ac:dyDescent="0.3">
      <c r="A613" t="s">
        <v>619</v>
      </c>
      <c r="B613">
        <v>10</v>
      </c>
      <c r="C613">
        <v>40</v>
      </c>
      <c r="D613">
        <v>50</v>
      </c>
      <c r="E613" t="s">
        <v>619</v>
      </c>
      <c r="F613">
        <v>38.722141265869141</v>
      </c>
      <c r="G613">
        <v>46.523269653320313</v>
      </c>
      <c r="H613">
        <v>85.245414733886719</v>
      </c>
      <c r="I613" s="5" t="str">
        <f t="shared" si="30"/>
        <v>Medium</v>
      </c>
      <c r="J613" s="5" t="str">
        <f t="shared" si="31"/>
        <v>High</v>
      </c>
      <c r="K613" s="6">
        <f t="shared" si="32"/>
        <v>0</v>
      </c>
    </row>
    <row r="614" spans="1:11" x14ac:dyDescent="0.3">
      <c r="A614" t="s">
        <v>620</v>
      </c>
      <c r="B614">
        <v>10</v>
      </c>
      <c r="C614">
        <v>40</v>
      </c>
      <c r="D614">
        <v>50</v>
      </c>
      <c r="E614" t="s">
        <v>620</v>
      </c>
      <c r="F614">
        <v>43.959857940673828</v>
      </c>
      <c r="G614">
        <v>50.650726318359382</v>
      </c>
      <c r="H614">
        <v>94.610580444335938</v>
      </c>
      <c r="I614" s="5" t="str">
        <f t="shared" si="30"/>
        <v>Medium</v>
      </c>
      <c r="J614" s="5" t="str">
        <f t="shared" si="31"/>
        <v>High</v>
      </c>
      <c r="K614" s="6">
        <f t="shared" si="32"/>
        <v>0</v>
      </c>
    </row>
    <row r="615" spans="1:11" x14ac:dyDescent="0.3">
      <c r="A615" t="s">
        <v>621</v>
      </c>
      <c r="B615">
        <v>10</v>
      </c>
      <c r="C615">
        <v>40</v>
      </c>
      <c r="D615">
        <v>50</v>
      </c>
      <c r="E615" t="s">
        <v>621</v>
      </c>
      <c r="F615">
        <v>42.603839874267578</v>
      </c>
      <c r="G615">
        <v>51.014095306396477</v>
      </c>
      <c r="H615">
        <v>93.617935180664063</v>
      </c>
      <c r="I615" s="5" t="str">
        <f t="shared" si="30"/>
        <v>Medium</v>
      </c>
      <c r="J615" s="5" t="str">
        <f t="shared" si="31"/>
        <v>High</v>
      </c>
      <c r="K615" s="6">
        <f t="shared" si="32"/>
        <v>0</v>
      </c>
    </row>
    <row r="616" spans="1:11" x14ac:dyDescent="0.3">
      <c r="A616" t="s">
        <v>622</v>
      </c>
      <c r="B616">
        <v>10</v>
      </c>
      <c r="C616">
        <v>40</v>
      </c>
      <c r="D616">
        <v>50</v>
      </c>
      <c r="E616" t="s">
        <v>622</v>
      </c>
      <c r="F616">
        <v>43.491264343261719</v>
      </c>
      <c r="G616">
        <v>52.329277038574219</v>
      </c>
      <c r="H616">
        <v>95.820549011230469</v>
      </c>
      <c r="I616" s="5" t="str">
        <f t="shared" si="30"/>
        <v>Medium</v>
      </c>
      <c r="J616" s="5" t="str">
        <f t="shared" si="31"/>
        <v>High</v>
      </c>
      <c r="K616" s="6">
        <f t="shared" si="32"/>
        <v>0</v>
      </c>
    </row>
    <row r="617" spans="1:11" x14ac:dyDescent="0.3">
      <c r="A617" t="s">
        <v>623</v>
      </c>
      <c r="B617">
        <v>10</v>
      </c>
      <c r="C617">
        <v>40</v>
      </c>
      <c r="D617">
        <v>50</v>
      </c>
      <c r="E617" t="s">
        <v>623</v>
      </c>
      <c r="F617">
        <v>41.321533203125</v>
      </c>
      <c r="G617">
        <v>48.156604766845703</v>
      </c>
      <c r="H617">
        <v>89.478134155273438</v>
      </c>
      <c r="I617" s="5" t="str">
        <f t="shared" si="30"/>
        <v>Medium</v>
      </c>
      <c r="J617" s="5" t="str">
        <f t="shared" si="31"/>
        <v>High</v>
      </c>
      <c r="K617" s="6">
        <f t="shared" si="32"/>
        <v>0</v>
      </c>
    </row>
    <row r="618" spans="1:11" x14ac:dyDescent="0.3">
      <c r="A618" t="s">
        <v>624</v>
      </c>
      <c r="B618">
        <v>10</v>
      </c>
      <c r="C618">
        <v>40</v>
      </c>
      <c r="D618">
        <v>50</v>
      </c>
      <c r="E618" t="s">
        <v>624</v>
      </c>
      <c r="F618">
        <v>40.720897674560547</v>
      </c>
      <c r="G618">
        <v>51.505100250244141</v>
      </c>
      <c r="H618">
        <v>92.225997924804688</v>
      </c>
      <c r="I618" s="5" t="str">
        <f t="shared" si="30"/>
        <v>Medium</v>
      </c>
      <c r="J618" s="5" t="str">
        <f t="shared" si="31"/>
        <v>High</v>
      </c>
      <c r="K618" s="6">
        <f t="shared" si="32"/>
        <v>0</v>
      </c>
    </row>
    <row r="619" spans="1:11" x14ac:dyDescent="0.3">
      <c r="A619" t="s">
        <v>625</v>
      </c>
      <c r="B619">
        <v>10</v>
      </c>
      <c r="C619">
        <v>40</v>
      </c>
      <c r="D619">
        <v>50</v>
      </c>
      <c r="E619" t="s">
        <v>625</v>
      </c>
      <c r="F619">
        <v>43.020473480224609</v>
      </c>
      <c r="G619">
        <v>46.112094879150391</v>
      </c>
      <c r="H619">
        <v>89.132568359375</v>
      </c>
      <c r="I619" s="5" t="str">
        <f t="shared" si="30"/>
        <v>Medium</v>
      </c>
      <c r="J619" s="5" t="str">
        <f t="shared" si="31"/>
        <v>High</v>
      </c>
      <c r="K619" s="6">
        <f t="shared" si="32"/>
        <v>0</v>
      </c>
    </row>
    <row r="620" spans="1:11" x14ac:dyDescent="0.3">
      <c r="A620" t="s">
        <v>626</v>
      </c>
      <c r="B620">
        <v>10</v>
      </c>
      <c r="C620">
        <v>40</v>
      </c>
      <c r="D620">
        <v>50</v>
      </c>
      <c r="E620" t="s">
        <v>626</v>
      </c>
      <c r="F620">
        <v>28.939872741699219</v>
      </c>
      <c r="G620">
        <v>29.755556106567379</v>
      </c>
      <c r="H620">
        <v>58.695430755615227</v>
      </c>
      <c r="I620" s="5" t="str">
        <f t="shared" si="30"/>
        <v>Medium</v>
      </c>
      <c r="J620" s="5" t="str">
        <f t="shared" si="31"/>
        <v>Medium</v>
      </c>
      <c r="K620" s="6">
        <f t="shared" si="32"/>
        <v>1</v>
      </c>
    </row>
    <row r="621" spans="1:11" x14ac:dyDescent="0.3">
      <c r="A621" t="s">
        <v>627</v>
      </c>
      <c r="B621">
        <v>10</v>
      </c>
      <c r="C621">
        <v>40</v>
      </c>
      <c r="D621">
        <v>50</v>
      </c>
      <c r="E621" t="s">
        <v>627</v>
      </c>
      <c r="F621">
        <v>35.406459808349609</v>
      </c>
      <c r="G621">
        <v>35.797794342041023</v>
      </c>
      <c r="H621">
        <v>71.204254150390625</v>
      </c>
      <c r="I621" s="5" t="str">
        <f t="shared" si="30"/>
        <v>Medium</v>
      </c>
      <c r="J621" s="5" t="str">
        <f t="shared" si="31"/>
        <v>High</v>
      </c>
      <c r="K621" s="6">
        <f t="shared" si="32"/>
        <v>1</v>
      </c>
    </row>
    <row r="622" spans="1:11" x14ac:dyDescent="0.3">
      <c r="A622" t="s">
        <v>628</v>
      </c>
      <c r="B622">
        <v>10</v>
      </c>
      <c r="C622">
        <v>40</v>
      </c>
      <c r="D622">
        <v>50</v>
      </c>
      <c r="E622" t="s">
        <v>628</v>
      </c>
      <c r="F622">
        <v>35.549957275390618</v>
      </c>
      <c r="G622">
        <v>33.351181030273438</v>
      </c>
      <c r="H622">
        <v>68.901130676269531</v>
      </c>
      <c r="I622" s="5" t="str">
        <f t="shared" si="30"/>
        <v>Medium</v>
      </c>
      <c r="J622" s="5" t="str">
        <f t="shared" si="31"/>
        <v>Medium</v>
      </c>
      <c r="K622" s="6">
        <f t="shared" si="32"/>
        <v>1</v>
      </c>
    </row>
    <row r="623" spans="1:11" x14ac:dyDescent="0.3">
      <c r="A623" t="s">
        <v>629</v>
      </c>
      <c r="B623">
        <v>20</v>
      </c>
      <c r="C623">
        <v>30.000001907348629</v>
      </c>
      <c r="D623">
        <v>50</v>
      </c>
      <c r="E623" t="s">
        <v>629</v>
      </c>
      <c r="F623">
        <v>34.903011322021477</v>
      </c>
      <c r="G623">
        <v>39.048118591308587</v>
      </c>
      <c r="H623">
        <v>73.951126098632813</v>
      </c>
      <c r="I623" s="5" t="str">
        <f t="shared" si="30"/>
        <v>Medium</v>
      </c>
      <c r="J623" s="5" t="str">
        <f t="shared" si="31"/>
        <v>High</v>
      </c>
      <c r="K623" s="6">
        <f t="shared" si="32"/>
        <v>1</v>
      </c>
    </row>
    <row r="624" spans="1:11" x14ac:dyDescent="0.3">
      <c r="A624" t="s">
        <v>630</v>
      </c>
      <c r="B624">
        <v>20</v>
      </c>
      <c r="C624">
        <v>30.000001907348629</v>
      </c>
      <c r="D624">
        <v>50</v>
      </c>
      <c r="E624" t="s">
        <v>630</v>
      </c>
      <c r="F624">
        <v>33.925682067871087</v>
      </c>
      <c r="G624">
        <v>29.97896575927734</v>
      </c>
      <c r="H624">
        <v>63.904647827148438</v>
      </c>
      <c r="I624" s="5" t="str">
        <f t="shared" si="30"/>
        <v>Medium</v>
      </c>
      <c r="J624" s="5" t="str">
        <f t="shared" si="31"/>
        <v>Medium</v>
      </c>
      <c r="K624" s="6">
        <f t="shared" si="32"/>
        <v>1</v>
      </c>
    </row>
    <row r="625" spans="1:11" x14ac:dyDescent="0.3">
      <c r="A625" t="s">
        <v>631</v>
      </c>
      <c r="B625">
        <v>20</v>
      </c>
      <c r="C625">
        <v>30.000001907348629</v>
      </c>
      <c r="D625">
        <v>50</v>
      </c>
      <c r="E625" t="s">
        <v>631</v>
      </c>
      <c r="F625">
        <v>34.940982818603523</v>
      </c>
      <c r="G625">
        <v>39.887996673583977</v>
      </c>
      <c r="H625">
        <v>74.8289794921875</v>
      </c>
      <c r="I625" s="5" t="str">
        <f t="shared" si="30"/>
        <v>Medium</v>
      </c>
      <c r="J625" s="5" t="str">
        <f t="shared" si="31"/>
        <v>High</v>
      </c>
      <c r="K625" s="6">
        <f t="shared" si="32"/>
        <v>1</v>
      </c>
    </row>
    <row r="626" spans="1:11" x14ac:dyDescent="0.3">
      <c r="A626" t="s">
        <v>632</v>
      </c>
      <c r="B626">
        <v>20</v>
      </c>
      <c r="C626">
        <v>30.000001907348629</v>
      </c>
      <c r="D626">
        <v>50</v>
      </c>
      <c r="E626" t="s">
        <v>632</v>
      </c>
      <c r="F626">
        <v>31.04136848449707</v>
      </c>
      <c r="G626">
        <v>26.642024993896481</v>
      </c>
      <c r="H626">
        <v>57.683395385742188</v>
      </c>
      <c r="I626" s="5" t="str">
        <f t="shared" si="30"/>
        <v>Medium</v>
      </c>
      <c r="J626" s="5" t="str">
        <f t="shared" si="31"/>
        <v>Medium</v>
      </c>
      <c r="K626" s="6">
        <f t="shared" si="32"/>
        <v>1</v>
      </c>
    </row>
    <row r="627" spans="1:11" x14ac:dyDescent="0.3">
      <c r="A627" t="s">
        <v>633</v>
      </c>
      <c r="B627">
        <v>20</v>
      </c>
      <c r="C627">
        <v>30.000001907348629</v>
      </c>
      <c r="D627">
        <v>50</v>
      </c>
      <c r="E627" t="s">
        <v>633</v>
      </c>
      <c r="F627">
        <v>37.152473449707031</v>
      </c>
      <c r="G627">
        <v>38.072471618652337</v>
      </c>
      <c r="H627">
        <v>75.224945068359375</v>
      </c>
      <c r="I627" s="5" t="str">
        <f t="shared" si="30"/>
        <v>Medium</v>
      </c>
      <c r="J627" s="5" t="str">
        <f t="shared" si="31"/>
        <v>High</v>
      </c>
      <c r="K627" s="6">
        <f t="shared" si="32"/>
        <v>1</v>
      </c>
    </row>
    <row r="628" spans="1:11" x14ac:dyDescent="0.3">
      <c r="A628" t="s">
        <v>634</v>
      </c>
      <c r="B628">
        <v>20</v>
      </c>
      <c r="C628">
        <v>30.000001907348629</v>
      </c>
      <c r="D628">
        <v>50</v>
      </c>
      <c r="E628" t="s">
        <v>634</v>
      </c>
      <c r="F628">
        <v>37.771812438964837</v>
      </c>
      <c r="G628">
        <v>41.216270446777337</v>
      </c>
      <c r="H628">
        <v>78.988090515136719</v>
      </c>
      <c r="I628" s="5" t="str">
        <f t="shared" si="30"/>
        <v>Medium</v>
      </c>
      <c r="J628" s="5" t="str">
        <f t="shared" si="31"/>
        <v>High</v>
      </c>
      <c r="K628" s="6">
        <f t="shared" si="32"/>
        <v>1</v>
      </c>
    </row>
    <row r="629" spans="1:11" x14ac:dyDescent="0.3">
      <c r="A629" t="s">
        <v>635</v>
      </c>
      <c r="B629">
        <v>60.000003814697273</v>
      </c>
      <c r="C629">
        <v>40</v>
      </c>
      <c r="D629">
        <v>100</v>
      </c>
      <c r="E629" t="s">
        <v>635</v>
      </c>
      <c r="F629">
        <v>30.959135055541989</v>
      </c>
      <c r="G629">
        <v>34.2850341796875</v>
      </c>
      <c r="H629">
        <v>65.244171142578125</v>
      </c>
      <c r="I629" s="5" t="str">
        <f t="shared" si="30"/>
        <v>High</v>
      </c>
      <c r="J629" s="5" t="str">
        <f t="shared" si="31"/>
        <v>Medium</v>
      </c>
      <c r="K629" s="6">
        <f t="shared" si="32"/>
        <v>0</v>
      </c>
    </row>
    <row r="630" spans="1:11" x14ac:dyDescent="0.3">
      <c r="A630" t="s">
        <v>636</v>
      </c>
      <c r="B630">
        <v>60.000003814697273</v>
      </c>
      <c r="C630">
        <v>40</v>
      </c>
      <c r="D630">
        <v>100</v>
      </c>
      <c r="E630" t="s">
        <v>636</v>
      </c>
      <c r="F630">
        <v>33.733184814453118</v>
      </c>
      <c r="G630">
        <v>35.169937133789063</v>
      </c>
      <c r="H630">
        <v>68.903121948242188</v>
      </c>
      <c r="I630" s="5" t="str">
        <f t="shared" si="30"/>
        <v>High</v>
      </c>
      <c r="J630" s="5" t="str">
        <f t="shared" si="31"/>
        <v>Medium</v>
      </c>
      <c r="K630" s="6">
        <f t="shared" si="32"/>
        <v>0</v>
      </c>
    </row>
    <row r="631" spans="1:11" x14ac:dyDescent="0.3">
      <c r="A631" t="s">
        <v>637</v>
      </c>
      <c r="B631">
        <v>60.000003814697273</v>
      </c>
      <c r="C631">
        <v>40</v>
      </c>
      <c r="D631">
        <v>100</v>
      </c>
      <c r="E631" t="s">
        <v>637</v>
      </c>
      <c r="F631">
        <v>36.873779296875</v>
      </c>
      <c r="G631">
        <v>38.437088012695313</v>
      </c>
      <c r="H631">
        <v>75.310867309570313</v>
      </c>
      <c r="I631" s="5" t="str">
        <f t="shared" si="30"/>
        <v>High</v>
      </c>
      <c r="J631" s="5" t="str">
        <f t="shared" si="31"/>
        <v>High</v>
      </c>
      <c r="K631" s="6">
        <f t="shared" si="32"/>
        <v>1</v>
      </c>
    </row>
    <row r="632" spans="1:11" x14ac:dyDescent="0.3">
      <c r="A632" t="s">
        <v>638</v>
      </c>
      <c r="B632">
        <v>60.000003814697273</v>
      </c>
      <c r="C632">
        <v>40</v>
      </c>
      <c r="D632">
        <v>100</v>
      </c>
      <c r="E632" t="s">
        <v>638</v>
      </c>
      <c r="F632">
        <v>37.484653472900391</v>
      </c>
      <c r="G632">
        <v>46.336238861083977</v>
      </c>
      <c r="H632">
        <v>83.820892333984375</v>
      </c>
      <c r="I632" s="5" t="str">
        <f t="shared" si="30"/>
        <v>High</v>
      </c>
      <c r="J632" s="5" t="str">
        <f t="shared" si="31"/>
        <v>High</v>
      </c>
      <c r="K632" s="6">
        <f t="shared" si="32"/>
        <v>1</v>
      </c>
    </row>
    <row r="633" spans="1:11" x14ac:dyDescent="0.3">
      <c r="A633" t="s">
        <v>639</v>
      </c>
      <c r="B633">
        <v>60.000003814697273</v>
      </c>
      <c r="C633">
        <v>40</v>
      </c>
      <c r="D633">
        <v>100</v>
      </c>
      <c r="E633" t="s">
        <v>639</v>
      </c>
      <c r="F633">
        <v>36.464263916015618</v>
      </c>
      <c r="G633">
        <v>42.090579986572273</v>
      </c>
      <c r="H633">
        <v>78.554847717285156</v>
      </c>
      <c r="I633" s="5" t="str">
        <f t="shared" si="30"/>
        <v>High</v>
      </c>
      <c r="J633" s="5" t="str">
        <f t="shared" si="31"/>
        <v>High</v>
      </c>
      <c r="K633" s="6">
        <f t="shared" si="32"/>
        <v>1</v>
      </c>
    </row>
    <row r="634" spans="1:11" x14ac:dyDescent="0.3">
      <c r="A634" t="s">
        <v>640</v>
      </c>
      <c r="B634">
        <v>60.000003814697273</v>
      </c>
      <c r="C634">
        <v>40</v>
      </c>
      <c r="D634">
        <v>100</v>
      </c>
      <c r="E634" t="s">
        <v>640</v>
      </c>
      <c r="F634">
        <v>37.619274139404297</v>
      </c>
      <c r="G634">
        <v>45.196395874023438</v>
      </c>
      <c r="H634">
        <v>82.815673828125</v>
      </c>
      <c r="I634" s="5" t="str">
        <f t="shared" si="30"/>
        <v>High</v>
      </c>
      <c r="J634" s="5" t="str">
        <f t="shared" si="31"/>
        <v>High</v>
      </c>
      <c r="K634" s="6">
        <f t="shared" si="32"/>
        <v>1</v>
      </c>
    </row>
    <row r="635" spans="1:11" x14ac:dyDescent="0.3">
      <c r="A635" t="s">
        <v>641</v>
      </c>
      <c r="B635">
        <v>50</v>
      </c>
      <c r="C635">
        <v>50</v>
      </c>
      <c r="D635">
        <v>100</v>
      </c>
      <c r="E635" t="s">
        <v>641</v>
      </c>
      <c r="F635">
        <v>39.471889495849609</v>
      </c>
      <c r="G635">
        <v>45.071903228759773</v>
      </c>
      <c r="H635">
        <v>84.543785095214844</v>
      </c>
      <c r="I635" s="5" t="str">
        <f t="shared" si="30"/>
        <v>High</v>
      </c>
      <c r="J635" s="5" t="str">
        <f t="shared" si="31"/>
        <v>High</v>
      </c>
      <c r="K635" s="6">
        <f t="shared" si="32"/>
        <v>1</v>
      </c>
    </row>
    <row r="636" spans="1:11" x14ac:dyDescent="0.3">
      <c r="A636" t="s">
        <v>642</v>
      </c>
      <c r="B636">
        <v>50</v>
      </c>
      <c r="C636">
        <v>50</v>
      </c>
      <c r="D636">
        <v>100</v>
      </c>
      <c r="E636" t="s">
        <v>642</v>
      </c>
      <c r="F636">
        <v>35.761322021484382</v>
      </c>
      <c r="G636">
        <v>38.048995971679688</v>
      </c>
      <c r="H636">
        <v>73.810317993164063</v>
      </c>
      <c r="I636" s="5" t="str">
        <f t="shared" si="30"/>
        <v>High</v>
      </c>
      <c r="J636" s="5" t="str">
        <f t="shared" si="31"/>
        <v>High</v>
      </c>
      <c r="K636" s="6">
        <f t="shared" si="32"/>
        <v>1</v>
      </c>
    </row>
    <row r="637" spans="1:11" x14ac:dyDescent="0.3">
      <c r="A637" t="s">
        <v>643</v>
      </c>
      <c r="B637">
        <v>50</v>
      </c>
      <c r="C637">
        <v>50</v>
      </c>
      <c r="D637">
        <v>100</v>
      </c>
      <c r="E637" t="s">
        <v>643</v>
      </c>
      <c r="F637">
        <v>35.853294372558587</v>
      </c>
      <c r="G637">
        <v>44.139080047607422</v>
      </c>
      <c r="H637">
        <v>79.992378234863281</v>
      </c>
      <c r="I637" s="5" t="str">
        <f t="shared" si="30"/>
        <v>High</v>
      </c>
      <c r="J637" s="5" t="str">
        <f t="shared" si="31"/>
        <v>High</v>
      </c>
      <c r="K637" s="6">
        <f t="shared" si="32"/>
        <v>1</v>
      </c>
    </row>
    <row r="638" spans="1:11" x14ac:dyDescent="0.3">
      <c r="A638" t="s">
        <v>644</v>
      </c>
      <c r="B638">
        <v>50</v>
      </c>
      <c r="C638">
        <v>50</v>
      </c>
      <c r="D638">
        <v>100</v>
      </c>
      <c r="E638" t="s">
        <v>644</v>
      </c>
      <c r="F638">
        <v>34.387954711914063</v>
      </c>
      <c r="G638">
        <v>37.796993255615227</v>
      </c>
      <c r="H638">
        <v>72.184951782226563</v>
      </c>
      <c r="I638" s="5" t="str">
        <f t="shared" si="30"/>
        <v>High</v>
      </c>
      <c r="J638" s="5" t="str">
        <f t="shared" si="31"/>
        <v>High</v>
      </c>
      <c r="K638" s="6">
        <f t="shared" si="32"/>
        <v>1</v>
      </c>
    </row>
    <row r="639" spans="1:11" x14ac:dyDescent="0.3">
      <c r="A639" t="s">
        <v>645</v>
      </c>
      <c r="B639">
        <v>50</v>
      </c>
      <c r="C639">
        <v>50</v>
      </c>
      <c r="D639">
        <v>100</v>
      </c>
      <c r="E639" t="s">
        <v>645</v>
      </c>
      <c r="F639">
        <v>36.259563446044922</v>
      </c>
      <c r="G639">
        <v>40.353782653808587</v>
      </c>
      <c r="H639">
        <v>76.61334228515625</v>
      </c>
      <c r="I639" s="5" t="str">
        <f t="shared" si="30"/>
        <v>High</v>
      </c>
      <c r="J639" s="5" t="str">
        <f t="shared" si="31"/>
        <v>High</v>
      </c>
      <c r="K639" s="6">
        <f t="shared" si="32"/>
        <v>1</v>
      </c>
    </row>
    <row r="640" spans="1:11" x14ac:dyDescent="0.3">
      <c r="A640" t="s">
        <v>646</v>
      </c>
      <c r="B640">
        <v>50</v>
      </c>
      <c r="C640">
        <v>50</v>
      </c>
      <c r="D640">
        <v>100</v>
      </c>
      <c r="E640" t="s">
        <v>646</v>
      </c>
      <c r="F640">
        <v>34.339157104492188</v>
      </c>
      <c r="G640">
        <v>43.955539703369141</v>
      </c>
      <c r="H640">
        <v>78.294692993164063</v>
      </c>
      <c r="I640" s="5" t="str">
        <f t="shared" si="30"/>
        <v>High</v>
      </c>
      <c r="J640" s="5" t="str">
        <f t="shared" si="31"/>
        <v>High</v>
      </c>
      <c r="K640" s="6">
        <f t="shared" si="32"/>
        <v>1</v>
      </c>
    </row>
    <row r="641" spans="1:11" x14ac:dyDescent="0.3">
      <c r="A641" t="s">
        <v>647</v>
      </c>
      <c r="B641">
        <v>60.000003814697273</v>
      </c>
      <c r="C641">
        <v>50</v>
      </c>
      <c r="D641">
        <v>110</v>
      </c>
      <c r="E641" t="s">
        <v>647</v>
      </c>
      <c r="F641">
        <v>40.965744018554688</v>
      </c>
      <c r="G641">
        <v>43.794685363769531</v>
      </c>
      <c r="H641">
        <v>84.760429382324219</v>
      </c>
      <c r="I641" s="5" t="str">
        <f t="shared" si="30"/>
        <v>High</v>
      </c>
      <c r="J641" s="5" t="str">
        <f t="shared" si="31"/>
        <v>High</v>
      </c>
      <c r="K641" s="6">
        <f t="shared" si="32"/>
        <v>1</v>
      </c>
    </row>
    <row r="642" spans="1:11" x14ac:dyDescent="0.3">
      <c r="A642" t="s">
        <v>648</v>
      </c>
      <c r="B642">
        <v>60.000003814697273</v>
      </c>
      <c r="C642">
        <v>50</v>
      </c>
      <c r="D642">
        <v>110</v>
      </c>
      <c r="E642" t="s">
        <v>648</v>
      </c>
      <c r="F642">
        <v>40.735935211181641</v>
      </c>
      <c r="G642">
        <v>43.880950927734382</v>
      </c>
      <c r="H642">
        <v>84.616889953613281</v>
      </c>
      <c r="I642" s="5" t="str">
        <f t="shared" si="30"/>
        <v>High</v>
      </c>
      <c r="J642" s="5" t="str">
        <f t="shared" si="31"/>
        <v>High</v>
      </c>
      <c r="K642" s="6">
        <f t="shared" si="32"/>
        <v>1</v>
      </c>
    </row>
    <row r="643" spans="1:11" x14ac:dyDescent="0.3">
      <c r="A643" t="s">
        <v>649</v>
      </c>
      <c r="B643">
        <v>60.000003814697273</v>
      </c>
      <c r="C643">
        <v>50</v>
      </c>
      <c r="D643">
        <v>110</v>
      </c>
      <c r="E643" t="s">
        <v>649</v>
      </c>
      <c r="F643">
        <v>37.892868041992188</v>
      </c>
      <c r="G643">
        <v>35.880363464355469</v>
      </c>
      <c r="H643">
        <v>73.773231506347656</v>
      </c>
      <c r="I643" s="5" t="str">
        <f t="shared" si="30"/>
        <v>High</v>
      </c>
      <c r="J643" s="5" t="str">
        <f t="shared" si="31"/>
        <v>High</v>
      </c>
      <c r="K643" s="6">
        <f t="shared" si="32"/>
        <v>0</v>
      </c>
    </row>
    <row r="644" spans="1:11" x14ac:dyDescent="0.3">
      <c r="A644" t="s">
        <v>650</v>
      </c>
      <c r="B644">
        <v>60.000003814697273</v>
      </c>
      <c r="C644">
        <v>50</v>
      </c>
      <c r="D644">
        <v>110</v>
      </c>
      <c r="E644" t="s">
        <v>650</v>
      </c>
      <c r="F644">
        <v>37.970874786376953</v>
      </c>
      <c r="G644">
        <v>44.772445678710938</v>
      </c>
      <c r="H644">
        <v>82.743324279785156</v>
      </c>
      <c r="I644" s="5" t="str">
        <f t="shared" si="30"/>
        <v>High</v>
      </c>
      <c r="J644" s="5" t="str">
        <f t="shared" si="31"/>
        <v>High</v>
      </c>
      <c r="K644" s="6">
        <f t="shared" si="32"/>
        <v>1</v>
      </c>
    </row>
    <row r="645" spans="1:11" x14ac:dyDescent="0.3">
      <c r="A645" t="s">
        <v>651</v>
      </c>
      <c r="B645">
        <v>60.000003814697273</v>
      </c>
      <c r="C645">
        <v>50</v>
      </c>
      <c r="D645">
        <v>110</v>
      </c>
      <c r="E645" t="s">
        <v>651</v>
      </c>
      <c r="F645">
        <v>28.07320404052734</v>
      </c>
      <c r="G645">
        <v>34.730068206787109</v>
      </c>
      <c r="H645">
        <v>62.803268432617188</v>
      </c>
      <c r="I645" s="5" t="str">
        <f t="shared" ref="I645:I679" si="33" xml:space="preserve"> IF(D645 &lt;= 39, "Low",
               IF(D645 &lt;= 69, "Medium", "High"))</f>
        <v>High</v>
      </c>
      <c r="J645" s="5" t="str">
        <f t="shared" ref="J645:J679" si="34" xml:space="preserve"> IF(H645 &lt;= 39, "Low",
               IF(H645 &lt;= 69, "Medium", "High"))</f>
        <v>Medium</v>
      </c>
      <c r="K645" s="6">
        <f t="shared" ref="K645:K679" si="35" xml:space="preserve"> IF(ABS(D645 - H645) &lt;= 30, 1, 0)</f>
        <v>0</v>
      </c>
    </row>
    <row r="646" spans="1:11" x14ac:dyDescent="0.3">
      <c r="A646" t="s">
        <v>652</v>
      </c>
      <c r="B646">
        <v>60.000003814697273</v>
      </c>
      <c r="C646">
        <v>50</v>
      </c>
      <c r="D646">
        <v>110</v>
      </c>
      <c r="E646" t="s">
        <v>652</v>
      </c>
      <c r="F646">
        <v>34.093536376953118</v>
      </c>
      <c r="G646">
        <v>40.575756072998047</v>
      </c>
      <c r="H646">
        <v>74.669288635253906</v>
      </c>
      <c r="I646" s="5" t="str">
        <f t="shared" si="33"/>
        <v>High</v>
      </c>
      <c r="J646" s="5" t="str">
        <f t="shared" si="34"/>
        <v>High</v>
      </c>
      <c r="K646" s="6">
        <f t="shared" si="35"/>
        <v>0</v>
      </c>
    </row>
    <row r="647" spans="1:11" x14ac:dyDescent="0.3">
      <c r="A647" t="s">
        <v>653</v>
      </c>
      <c r="B647">
        <v>60.000003814697273</v>
      </c>
      <c r="C647">
        <v>40</v>
      </c>
      <c r="D647">
        <v>100</v>
      </c>
      <c r="E647" t="s">
        <v>653</v>
      </c>
      <c r="F647">
        <v>34.1505126953125</v>
      </c>
      <c r="G647">
        <v>35.120857238769531</v>
      </c>
      <c r="H647">
        <v>69.271377563476563</v>
      </c>
      <c r="I647" s="5" t="str">
        <f t="shared" si="33"/>
        <v>High</v>
      </c>
      <c r="J647" s="5" t="str">
        <f t="shared" si="34"/>
        <v>High</v>
      </c>
      <c r="K647" s="6">
        <f t="shared" si="35"/>
        <v>0</v>
      </c>
    </row>
    <row r="648" spans="1:11" x14ac:dyDescent="0.3">
      <c r="A648" t="s">
        <v>654</v>
      </c>
      <c r="B648">
        <v>60.000003814697273</v>
      </c>
      <c r="C648">
        <v>40</v>
      </c>
      <c r="D648">
        <v>100</v>
      </c>
      <c r="E648" t="s">
        <v>654</v>
      </c>
      <c r="F648">
        <v>33.631916046142578</v>
      </c>
      <c r="G648">
        <v>38.339443206787109</v>
      </c>
      <c r="H648">
        <v>71.971359252929688</v>
      </c>
      <c r="I648" s="5" t="str">
        <f t="shared" si="33"/>
        <v>High</v>
      </c>
      <c r="J648" s="5" t="str">
        <f t="shared" si="34"/>
        <v>High</v>
      </c>
      <c r="K648" s="6">
        <f t="shared" si="35"/>
        <v>1</v>
      </c>
    </row>
    <row r="649" spans="1:11" x14ac:dyDescent="0.3">
      <c r="A649" t="s">
        <v>655</v>
      </c>
      <c r="B649">
        <v>60.000003814697273</v>
      </c>
      <c r="C649">
        <v>40</v>
      </c>
      <c r="D649">
        <v>100</v>
      </c>
      <c r="E649" t="s">
        <v>655</v>
      </c>
      <c r="F649">
        <v>37.546882629394531</v>
      </c>
      <c r="G649">
        <v>42.061222076416023</v>
      </c>
      <c r="H649">
        <v>79.608108520507813</v>
      </c>
      <c r="I649" s="5" t="str">
        <f t="shared" si="33"/>
        <v>High</v>
      </c>
      <c r="J649" s="5" t="str">
        <f t="shared" si="34"/>
        <v>High</v>
      </c>
      <c r="K649" s="6">
        <f t="shared" si="35"/>
        <v>1</v>
      </c>
    </row>
    <row r="650" spans="1:11" x14ac:dyDescent="0.3">
      <c r="A650" t="s">
        <v>656</v>
      </c>
      <c r="B650">
        <v>60.000003814697273</v>
      </c>
      <c r="C650">
        <v>40</v>
      </c>
      <c r="D650">
        <v>100</v>
      </c>
      <c r="E650" t="s">
        <v>656</v>
      </c>
      <c r="F650">
        <v>40.465877532958977</v>
      </c>
      <c r="G650">
        <v>43.35516357421875</v>
      </c>
      <c r="H650">
        <v>83.821037292480469</v>
      </c>
      <c r="I650" s="5" t="str">
        <f t="shared" si="33"/>
        <v>High</v>
      </c>
      <c r="J650" s="5" t="str">
        <f t="shared" si="34"/>
        <v>High</v>
      </c>
      <c r="K650" s="6">
        <f t="shared" si="35"/>
        <v>1</v>
      </c>
    </row>
    <row r="651" spans="1:11" x14ac:dyDescent="0.3">
      <c r="A651" t="s">
        <v>657</v>
      </c>
      <c r="B651">
        <v>60.000003814697273</v>
      </c>
      <c r="C651">
        <v>40</v>
      </c>
      <c r="D651">
        <v>100</v>
      </c>
      <c r="E651" t="s">
        <v>657</v>
      </c>
      <c r="F651">
        <v>41.643081665039063</v>
      </c>
      <c r="G651">
        <v>37.707710266113281</v>
      </c>
      <c r="H651">
        <v>79.350791931152344</v>
      </c>
      <c r="I651" s="5" t="str">
        <f t="shared" si="33"/>
        <v>High</v>
      </c>
      <c r="J651" s="5" t="str">
        <f t="shared" si="34"/>
        <v>High</v>
      </c>
      <c r="K651" s="6">
        <f t="shared" si="35"/>
        <v>1</v>
      </c>
    </row>
    <row r="652" spans="1:11" x14ac:dyDescent="0.3">
      <c r="A652" t="s">
        <v>658</v>
      </c>
      <c r="B652">
        <v>60.000003814697273</v>
      </c>
      <c r="C652">
        <v>40</v>
      </c>
      <c r="D652">
        <v>100</v>
      </c>
      <c r="E652" t="s">
        <v>658</v>
      </c>
      <c r="F652">
        <v>37.378822326660163</v>
      </c>
      <c r="G652">
        <v>39.005393981933587</v>
      </c>
      <c r="H652">
        <v>76.384223937988281</v>
      </c>
      <c r="I652" s="5" t="str">
        <f t="shared" si="33"/>
        <v>High</v>
      </c>
      <c r="J652" s="5" t="str">
        <f t="shared" si="34"/>
        <v>High</v>
      </c>
      <c r="K652" s="6">
        <f t="shared" si="35"/>
        <v>1</v>
      </c>
    </row>
    <row r="653" spans="1:11" x14ac:dyDescent="0.3">
      <c r="A653" t="s">
        <v>659</v>
      </c>
      <c r="B653">
        <v>10</v>
      </c>
      <c r="C653">
        <v>40</v>
      </c>
      <c r="D653">
        <v>50</v>
      </c>
      <c r="E653" t="s">
        <v>659</v>
      </c>
      <c r="F653">
        <v>38.939861297607422</v>
      </c>
      <c r="G653">
        <v>38.278297424316413</v>
      </c>
      <c r="H653">
        <v>77.218154907226563</v>
      </c>
      <c r="I653" s="5" t="str">
        <f t="shared" si="33"/>
        <v>Medium</v>
      </c>
      <c r="J653" s="5" t="str">
        <f t="shared" si="34"/>
        <v>High</v>
      </c>
      <c r="K653" s="6">
        <f t="shared" si="35"/>
        <v>1</v>
      </c>
    </row>
    <row r="654" spans="1:11" x14ac:dyDescent="0.3">
      <c r="A654" t="s">
        <v>660</v>
      </c>
      <c r="B654">
        <v>10</v>
      </c>
      <c r="C654">
        <v>40</v>
      </c>
      <c r="D654">
        <v>50</v>
      </c>
      <c r="E654" t="s">
        <v>660</v>
      </c>
      <c r="F654">
        <v>36.910907745361328</v>
      </c>
      <c r="G654">
        <v>36.880638122558587</v>
      </c>
      <c r="H654">
        <v>73.791542053222656</v>
      </c>
      <c r="I654" s="5" t="str">
        <f t="shared" si="33"/>
        <v>Medium</v>
      </c>
      <c r="J654" s="5" t="str">
        <f t="shared" si="34"/>
        <v>High</v>
      </c>
      <c r="K654" s="6">
        <f t="shared" si="35"/>
        <v>1</v>
      </c>
    </row>
    <row r="655" spans="1:11" x14ac:dyDescent="0.3">
      <c r="A655" t="s">
        <v>661</v>
      </c>
      <c r="B655">
        <v>10</v>
      </c>
      <c r="C655">
        <v>40</v>
      </c>
      <c r="D655">
        <v>50</v>
      </c>
      <c r="E655" t="s">
        <v>661</v>
      </c>
      <c r="F655">
        <v>40.587814331054688</v>
      </c>
      <c r="G655">
        <v>36.891883850097663</v>
      </c>
      <c r="H655">
        <v>77.479698181152344</v>
      </c>
      <c r="I655" s="5" t="str">
        <f t="shared" si="33"/>
        <v>Medium</v>
      </c>
      <c r="J655" s="5" t="str">
        <f t="shared" si="34"/>
        <v>High</v>
      </c>
      <c r="K655" s="6">
        <f t="shared" si="35"/>
        <v>1</v>
      </c>
    </row>
    <row r="656" spans="1:11" x14ac:dyDescent="0.3">
      <c r="A656" t="s">
        <v>662</v>
      </c>
      <c r="B656">
        <v>10</v>
      </c>
      <c r="C656">
        <v>40</v>
      </c>
      <c r="D656">
        <v>50</v>
      </c>
      <c r="E656" t="s">
        <v>662</v>
      </c>
      <c r="F656">
        <v>41.175628662109382</v>
      </c>
      <c r="G656">
        <v>49.774215698242188</v>
      </c>
      <c r="H656">
        <v>90.949844360351563</v>
      </c>
      <c r="I656" s="5" t="str">
        <f t="shared" si="33"/>
        <v>Medium</v>
      </c>
      <c r="J656" s="5" t="str">
        <f t="shared" si="34"/>
        <v>High</v>
      </c>
      <c r="K656" s="6">
        <f t="shared" si="35"/>
        <v>0</v>
      </c>
    </row>
    <row r="657" spans="1:11" x14ac:dyDescent="0.3">
      <c r="A657" t="s">
        <v>663</v>
      </c>
      <c r="B657">
        <v>10</v>
      </c>
      <c r="C657">
        <v>40</v>
      </c>
      <c r="D657">
        <v>50</v>
      </c>
      <c r="E657" t="s">
        <v>663</v>
      </c>
      <c r="F657">
        <v>42.325298309326172</v>
      </c>
      <c r="G657">
        <v>41.827369689941413</v>
      </c>
      <c r="H657">
        <v>84.152664184570313</v>
      </c>
      <c r="I657" s="5" t="str">
        <f t="shared" si="33"/>
        <v>Medium</v>
      </c>
      <c r="J657" s="5" t="str">
        <f t="shared" si="34"/>
        <v>High</v>
      </c>
      <c r="K657" s="6">
        <f t="shared" si="35"/>
        <v>0</v>
      </c>
    </row>
    <row r="658" spans="1:11" x14ac:dyDescent="0.3">
      <c r="A658" t="s">
        <v>664</v>
      </c>
      <c r="B658">
        <v>10</v>
      </c>
      <c r="C658">
        <v>40</v>
      </c>
      <c r="D658">
        <v>50</v>
      </c>
      <c r="E658" t="s">
        <v>664</v>
      </c>
      <c r="F658">
        <v>44.116176605224609</v>
      </c>
      <c r="G658">
        <v>45.025848388671882</v>
      </c>
      <c r="H658">
        <v>89.142021179199219</v>
      </c>
      <c r="I658" s="5" t="str">
        <f t="shared" si="33"/>
        <v>Medium</v>
      </c>
      <c r="J658" s="5" t="str">
        <f t="shared" si="34"/>
        <v>High</v>
      </c>
      <c r="K658" s="6">
        <f t="shared" si="35"/>
        <v>0</v>
      </c>
    </row>
    <row r="659" spans="1:11" x14ac:dyDescent="0.3">
      <c r="A659" t="s">
        <v>665</v>
      </c>
      <c r="B659">
        <v>50</v>
      </c>
      <c r="C659">
        <v>50</v>
      </c>
      <c r="D659">
        <v>100</v>
      </c>
      <c r="E659" t="s">
        <v>665</v>
      </c>
      <c r="F659">
        <v>41.133773803710938</v>
      </c>
      <c r="G659">
        <v>44.335781097412109</v>
      </c>
      <c r="H659">
        <v>85.469558715820313</v>
      </c>
      <c r="I659" s="5" t="str">
        <f t="shared" si="33"/>
        <v>High</v>
      </c>
      <c r="J659" s="5" t="str">
        <f t="shared" si="34"/>
        <v>High</v>
      </c>
      <c r="K659" s="6">
        <f t="shared" si="35"/>
        <v>1</v>
      </c>
    </row>
    <row r="660" spans="1:11" x14ac:dyDescent="0.3">
      <c r="A660" t="s">
        <v>666</v>
      </c>
      <c r="B660">
        <v>50</v>
      </c>
      <c r="C660">
        <v>50</v>
      </c>
      <c r="D660">
        <v>100</v>
      </c>
      <c r="E660" t="s">
        <v>666</v>
      </c>
      <c r="F660">
        <v>44.186958312988281</v>
      </c>
      <c r="G660">
        <v>40.261070251464837</v>
      </c>
      <c r="H660">
        <v>84.448028564453125</v>
      </c>
      <c r="I660" s="5" t="str">
        <f t="shared" si="33"/>
        <v>High</v>
      </c>
      <c r="J660" s="5" t="str">
        <f t="shared" si="34"/>
        <v>High</v>
      </c>
      <c r="K660" s="6">
        <f t="shared" si="35"/>
        <v>1</v>
      </c>
    </row>
    <row r="661" spans="1:11" x14ac:dyDescent="0.3">
      <c r="A661" t="s">
        <v>667</v>
      </c>
      <c r="B661">
        <v>50</v>
      </c>
      <c r="C661">
        <v>50</v>
      </c>
      <c r="D661">
        <v>100</v>
      </c>
      <c r="E661" t="s">
        <v>667</v>
      </c>
      <c r="F661">
        <v>41.747661590576172</v>
      </c>
      <c r="G661">
        <v>45.376338958740227</v>
      </c>
      <c r="H661">
        <v>87.124000549316406</v>
      </c>
      <c r="I661" s="5" t="str">
        <f t="shared" si="33"/>
        <v>High</v>
      </c>
      <c r="J661" s="5" t="str">
        <f t="shared" si="34"/>
        <v>High</v>
      </c>
      <c r="K661" s="6">
        <f t="shared" si="35"/>
        <v>1</v>
      </c>
    </row>
    <row r="662" spans="1:11" x14ac:dyDescent="0.3">
      <c r="A662" t="s">
        <v>668</v>
      </c>
      <c r="B662">
        <v>50</v>
      </c>
      <c r="C662">
        <v>50</v>
      </c>
      <c r="D662">
        <v>100</v>
      </c>
      <c r="E662" t="s">
        <v>668</v>
      </c>
      <c r="F662">
        <v>40.59918212890625</v>
      </c>
      <c r="G662">
        <v>48.070240020751953</v>
      </c>
      <c r="H662">
        <v>88.669418334960938</v>
      </c>
      <c r="I662" s="5" t="str">
        <f t="shared" si="33"/>
        <v>High</v>
      </c>
      <c r="J662" s="5" t="str">
        <f t="shared" si="34"/>
        <v>High</v>
      </c>
      <c r="K662" s="6">
        <f t="shared" si="35"/>
        <v>1</v>
      </c>
    </row>
    <row r="663" spans="1:11" x14ac:dyDescent="0.3">
      <c r="A663" t="s">
        <v>669</v>
      </c>
      <c r="B663">
        <v>50</v>
      </c>
      <c r="C663">
        <v>50</v>
      </c>
      <c r="D663">
        <v>100</v>
      </c>
      <c r="E663" t="s">
        <v>669</v>
      </c>
      <c r="F663">
        <v>44.992645263671882</v>
      </c>
      <c r="G663">
        <v>48.322223663330078</v>
      </c>
      <c r="H663">
        <v>93.314872741699219</v>
      </c>
      <c r="I663" s="5" t="str">
        <f t="shared" si="33"/>
        <v>High</v>
      </c>
      <c r="J663" s="5" t="str">
        <f t="shared" si="34"/>
        <v>High</v>
      </c>
      <c r="K663" s="6">
        <f t="shared" si="35"/>
        <v>1</v>
      </c>
    </row>
    <row r="664" spans="1:11" x14ac:dyDescent="0.3">
      <c r="A664" t="s">
        <v>670</v>
      </c>
      <c r="B664">
        <v>50</v>
      </c>
      <c r="C664">
        <v>50</v>
      </c>
      <c r="D664">
        <v>100</v>
      </c>
      <c r="E664" t="s">
        <v>670</v>
      </c>
      <c r="F664">
        <v>28.744062423706051</v>
      </c>
      <c r="G664">
        <v>42.166755676269531</v>
      </c>
      <c r="H664">
        <v>70.910820007324219</v>
      </c>
      <c r="I664" s="5" t="str">
        <f t="shared" si="33"/>
        <v>High</v>
      </c>
      <c r="J664" s="5" t="str">
        <f t="shared" si="34"/>
        <v>High</v>
      </c>
      <c r="K664" s="6">
        <f t="shared" si="35"/>
        <v>1</v>
      </c>
    </row>
    <row r="665" spans="1:11" x14ac:dyDescent="0.3">
      <c r="A665" t="s">
        <v>671</v>
      </c>
      <c r="B665">
        <v>100</v>
      </c>
      <c r="C665">
        <v>40</v>
      </c>
      <c r="D665">
        <v>140</v>
      </c>
      <c r="E665" t="s">
        <v>671</v>
      </c>
      <c r="F665">
        <v>36.890266418457031</v>
      </c>
      <c r="G665">
        <v>30.9666748046875</v>
      </c>
      <c r="H665">
        <v>67.856941223144531</v>
      </c>
      <c r="I665" s="5" t="str">
        <f t="shared" si="33"/>
        <v>High</v>
      </c>
      <c r="J665" s="5" t="str">
        <f t="shared" si="34"/>
        <v>Medium</v>
      </c>
      <c r="K665" s="6">
        <f t="shared" si="35"/>
        <v>0</v>
      </c>
    </row>
    <row r="666" spans="1:11" x14ac:dyDescent="0.3">
      <c r="A666" t="s">
        <v>672</v>
      </c>
      <c r="B666">
        <v>100</v>
      </c>
      <c r="C666">
        <v>40</v>
      </c>
      <c r="D666">
        <v>140</v>
      </c>
      <c r="E666" t="s">
        <v>672</v>
      </c>
      <c r="F666">
        <v>41.258533477783203</v>
      </c>
      <c r="G666">
        <v>46.551792144775391</v>
      </c>
      <c r="H666">
        <v>87.810325622558594</v>
      </c>
      <c r="I666" s="5" t="str">
        <f t="shared" si="33"/>
        <v>High</v>
      </c>
      <c r="J666" s="5" t="str">
        <f t="shared" si="34"/>
        <v>High</v>
      </c>
      <c r="K666" s="6">
        <f t="shared" si="35"/>
        <v>0</v>
      </c>
    </row>
    <row r="667" spans="1:11" x14ac:dyDescent="0.3">
      <c r="A667" t="s">
        <v>673</v>
      </c>
      <c r="B667">
        <v>100</v>
      </c>
      <c r="C667">
        <v>40</v>
      </c>
      <c r="D667">
        <v>140</v>
      </c>
      <c r="E667" t="s">
        <v>673</v>
      </c>
      <c r="F667">
        <v>42.445335388183587</v>
      </c>
      <c r="G667">
        <v>48.563808441162109</v>
      </c>
      <c r="H667">
        <v>91.009140014648438</v>
      </c>
      <c r="I667" s="5" t="str">
        <f t="shared" si="33"/>
        <v>High</v>
      </c>
      <c r="J667" s="5" t="str">
        <f t="shared" si="34"/>
        <v>High</v>
      </c>
      <c r="K667" s="6">
        <f t="shared" si="35"/>
        <v>0</v>
      </c>
    </row>
    <row r="668" spans="1:11" x14ac:dyDescent="0.3">
      <c r="A668" t="s">
        <v>674</v>
      </c>
      <c r="B668">
        <v>100</v>
      </c>
      <c r="C668">
        <v>40</v>
      </c>
      <c r="D668">
        <v>140</v>
      </c>
      <c r="E668" t="s">
        <v>674</v>
      </c>
      <c r="F668">
        <v>39.753288269042969</v>
      </c>
      <c r="G668">
        <v>48.858837127685547</v>
      </c>
      <c r="H668">
        <v>88.612129211425781</v>
      </c>
      <c r="I668" s="5" t="str">
        <f t="shared" si="33"/>
        <v>High</v>
      </c>
      <c r="J668" s="5" t="str">
        <f t="shared" si="34"/>
        <v>High</v>
      </c>
      <c r="K668" s="6">
        <f t="shared" si="35"/>
        <v>0</v>
      </c>
    </row>
    <row r="669" spans="1:11" x14ac:dyDescent="0.3">
      <c r="A669" t="s">
        <v>675</v>
      </c>
      <c r="B669">
        <v>100</v>
      </c>
      <c r="C669">
        <v>40</v>
      </c>
      <c r="D669">
        <v>140</v>
      </c>
      <c r="E669" t="s">
        <v>675</v>
      </c>
      <c r="F669">
        <v>35.501766204833977</v>
      </c>
      <c r="G669">
        <v>42.078220367431641</v>
      </c>
      <c r="H669">
        <v>77.579986572265625</v>
      </c>
      <c r="I669" s="5" t="str">
        <f t="shared" si="33"/>
        <v>High</v>
      </c>
      <c r="J669" s="5" t="str">
        <f t="shared" si="34"/>
        <v>High</v>
      </c>
      <c r="K669" s="6">
        <f t="shared" si="35"/>
        <v>0</v>
      </c>
    </row>
    <row r="670" spans="1:11" x14ac:dyDescent="0.3">
      <c r="A670" t="s">
        <v>676</v>
      </c>
      <c r="B670">
        <v>100</v>
      </c>
      <c r="C670">
        <v>40</v>
      </c>
      <c r="D670">
        <v>140</v>
      </c>
      <c r="E670" t="s">
        <v>676</v>
      </c>
      <c r="F670">
        <v>35.236148834228523</v>
      </c>
      <c r="G670">
        <v>37.498401641845703</v>
      </c>
      <c r="H670">
        <v>72.734542846679688</v>
      </c>
      <c r="I670" s="5" t="str">
        <f t="shared" si="33"/>
        <v>High</v>
      </c>
      <c r="J670" s="5" t="str">
        <f t="shared" si="34"/>
        <v>High</v>
      </c>
      <c r="K670" s="6">
        <f t="shared" si="35"/>
        <v>0</v>
      </c>
    </row>
    <row r="671" spans="1:11" x14ac:dyDescent="0.3">
      <c r="A671" t="s">
        <v>677</v>
      </c>
      <c r="B671">
        <v>10</v>
      </c>
      <c r="C671">
        <v>30.000001907348629</v>
      </c>
      <c r="D671">
        <v>40</v>
      </c>
      <c r="E671" t="s">
        <v>677</v>
      </c>
      <c r="F671">
        <v>35.820415496826172</v>
      </c>
      <c r="G671">
        <v>43.592563629150391</v>
      </c>
      <c r="H671">
        <v>79.412979125976563</v>
      </c>
      <c r="I671" s="5" t="str">
        <f t="shared" si="33"/>
        <v>Medium</v>
      </c>
      <c r="J671" s="5" t="str">
        <f t="shared" si="34"/>
        <v>High</v>
      </c>
      <c r="K671" s="6">
        <f t="shared" si="35"/>
        <v>0</v>
      </c>
    </row>
    <row r="672" spans="1:11" x14ac:dyDescent="0.3">
      <c r="A672" t="s">
        <v>678</v>
      </c>
      <c r="B672">
        <v>10</v>
      </c>
      <c r="C672">
        <v>30.000001907348629</v>
      </c>
      <c r="D672">
        <v>40</v>
      </c>
      <c r="E672" t="s">
        <v>678</v>
      </c>
      <c r="F672">
        <v>40.905494689941413</v>
      </c>
      <c r="G672">
        <v>48.411865234375</v>
      </c>
      <c r="H672">
        <v>89.317359924316406</v>
      </c>
      <c r="I672" s="5" t="str">
        <f t="shared" si="33"/>
        <v>Medium</v>
      </c>
      <c r="J672" s="5" t="str">
        <f t="shared" si="34"/>
        <v>High</v>
      </c>
      <c r="K672" s="6">
        <f t="shared" si="35"/>
        <v>0</v>
      </c>
    </row>
    <row r="673" spans="1:11" x14ac:dyDescent="0.3">
      <c r="A673" t="s">
        <v>679</v>
      </c>
      <c r="B673">
        <v>10</v>
      </c>
      <c r="C673">
        <v>30.000001907348629</v>
      </c>
      <c r="D673">
        <v>40</v>
      </c>
      <c r="E673" t="s">
        <v>679</v>
      </c>
      <c r="F673">
        <v>37.752853393554688</v>
      </c>
      <c r="G673">
        <v>46.013717651367188</v>
      </c>
      <c r="H673">
        <v>83.766571044921875</v>
      </c>
      <c r="I673" s="5" t="str">
        <f t="shared" si="33"/>
        <v>Medium</v>
      </c>
      <c r="J673" s="5" t="str">
        <f t="shared" si="34"/>
        <v>High</v>
      </c>
      <c r="K673" s="6">
        <f t="shared" si="35"/>
        <v>0</v>
      </c>
    </row>
    <row r="674" spans="1:11" x14ac:dyDescent="0.3">
      <c r="A674" t="s">
        <v>680</v>
      </c>
      <c r="B674">
        <v>10</v>
      </c>
      <c r="C674">
        <v>30.000001907348629</v>
      </c>
      <c r="D674">
        <v>40</v>
      </c>
      <c r="E674" t="s">
        <v>680</v>
      </c>
      <c r="F674">
        <v>39.488582611083977</v>
      </c>
      <c r="G674">
        <v>42.104911804199219</v>
      </c>
      <c r="H674">
        <v>81.593498229980469</v>
      </c>
      <c r="I674" s="5" t="str">
        <f t="shared" si="33"/>
        <v>Medium</v>
      </c>
      <c r="J674" s="5" t="str">
        <f t="shared" si="34"/>
        <v>High</v>
      </c>
      <c r="K674" s="6">
        <f t="shared" si="35"/>
        <v>0</v>
      </c>
    </row>
    <row r="675" spans="1:11" x14ac:dyDescent="0.3">
      <c r="A675" t="s">
        <v>681</v>
      </c>
      <c r="B675">
        <v>10</v>
      </c>
      <c r="C675">
        <v>30.000001907348629</v>
      </c>
      <c r="D675">
        <v>40</v>
      </c>
      <c r="E675" t="s">
        <v>681</v>
      </c>
      <c r="F675">
        <v>38.584690093994141</v>
      </c>
      <c r="G675">
        <v>43.361328125</v>
      </c>
      <c r="H675">
        <v>81.946022033691406</v>
      </c>
      <c r="I675" s="5" t="str">
        <f t="shared" si="33"/>
        <v>Medium</v>
      </c>
      <c r="J675" s="5" t="str">
        <f t="shared" si="34"/>
        <v>High</v>
      </c>
      <c r="K675" s="6">
        <f t="shared" si="35"/>
        <v>0</v>
      </c>
    </row>
    <row r="676" spans="1:11" x14ac:dyDescent="0.3">
      <c r="A676" t="s">
        <v>682</v>
      </c>
      <c r="B676">
        <v>10</v>
      </c>
      <c r="C676">
        <v>30.000001907348629</v>
      </c>
      <c r="D676">
        <v>40</v>
      </c>
      <c r="E676" t="s">
        <v>682</v>
      </c>
      <c r="F676">
        <v>39.499679565429688</v>
      </c>
      <c r="G676">
        <v>44.179714202880859</v>
      </c>
      <c r="H676">
        <v>83.679389953613281</v>
      </c>
      <c r="I676" s="5" t="str">
        <f t="shared" si="33"/>
        <v>Medium</v>
      </c>
      <c r="J676" s="5" t="str">
        <f t="shared" si="34"/>
        <v>High</v>
      </c>
      <c r="K676" s="6">
        <f t="shared" si="35"/>
        <v>0</v>
      </c>
    </row>
    <row r="677" spans="1:11" x14ac:dyDescent="0.3">
      <c r="A677" t="s">
        <v>683</v>
      </c>
      <c r="B677">
        <v>80</v>
      </c>
      <c r="C677">
        <v>30.000001907348629</v>
      </c>
      <c r="D677">
        <v>110</v>
      </c>
      <c r="E677" t="s">
        <v>683</v>
      </c>
      <c r="F677">
        <v>40.261642456054688</v>
      </c>
      <c r="G677">
        <v>43.648601531982422</v>
      </c>
      <c r="H677">
        <v>83.910247802734375</v>
      </c>
      <c r="I677" s="5" t="str">
        <f t="shared" si="33"/>
        <v>High</v>
      </c>
      <c r="J677" s="5" t="str">
        <f t="shared" si="34"/>
        <v>High</v>
      </c>
      <c r="K677" s="6">
        <f t="shared" si="35"/>
        <v>1</v>
      </c>
    </row>
    <row r="678" spans="1:11" x14ac:dyDescent="0.3">
      <c r="A678" t="s">
        <v>684</v>
      </c>
      <c r="B678">
        <v>80</v>
      </c>
      <c r="C678">
        <v>30.000001907348629</v>
      </c>
      <c r="D678">
        <v>110</v>
      </c>
      <c r="E678" t="s">
        <v>684</v>
      </c>
      <c r="F678">
        <v>39.289161682128913</v>
      </c>
      <c r="G678">
        <v>43.050991058349609</v>
      </c>
      <c r="H678">
        <v>82.340156555175781</v>
      </c>
      <c r="I678" s="5" t="str">
        <f t="shared" si="33"/>
        <v>High</v>
      </c>
      <c r="J678" s="5" t="str">
        <f t="shared" si="34"/>
        <v>High</v>
      </c>
      <c r="K678" s="6">
        <f t="shared" si="35"/>
        <v>1</v>
      </c>
    </row>
    <row r="679" spans="1:11" x14ac:dyDescent="0.3">
      <c r="A679" t="s">
        <v>685</v>
      </c>
      <c r="B679">
        <v>80</v>
      </c>
      <c r="C679">
        <v>30.000001907348629</v>
      </c>
      <c r="D679">
        <v>110</v>
      </c>
      <c r="E679" t="s">
        <v>685</v>
      </c>
      <c r="F679">
        <v>38.990684509277337</v>
      </c>
      <c r="G679">
        <v>42.777591705322273</v>
      </c>
      <c r="H679">
        <v>81.768272399902344</v>
      </c>
      <c r="I679" s="5" t="str">
        <f t="shared" si="33"/>
        <v>High</v>
      </c>
      <c r="J679" s="5" t="str">
        <f t="shared" si="34"/>
        <v>High</v>
      </c>
      <c r="K679" s="6">
        <f t="shared" si="35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CHRISTIAN A. LLUP</cp:lastModifiedBy>
  <dcterms:created xsi:type="dcterms:W3CDTF">2025-12-05T12:11:46Z</dcterms:created>
  <dcterms:modified xsi:type="dcterms:W3CDTF">2025-12-06T03:49:12Z</dcterms:modified>
</cp:coreProperties>
</file>